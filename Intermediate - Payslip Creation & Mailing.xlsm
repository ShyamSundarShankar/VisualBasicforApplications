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yam Sundar Shankar\Desktop\"/>
    </mc:Choice>
  </mc:AlternateContent>
  <bookViews>
    <workbookView xWindow="240" yWindow="375" windowWidth="14955" windowHeight="8445"/>
  </bookViews>
  <sheets>
    <sheet name="Pay Slip" sheetId="1" r:id="rId1"/>
    <sheet name="Data" sheetId="2" r:id="rId2"/>
    <sheet name="Mailer" sheetId="4" r:id="rId3"/>
    <sheet name="Reimbursement" sheetId="6" r:id="rId4"/>
    <sheet name="Other Deductions" sheetId="7" r:id="rId5"/>
  </sheets>
  <functionGroups builtInGroupCount="18"/>
  <definedNames>
    <definedName name="_xlnm.Print_Area" localSheetId="0">'Pay Slip'!$A$1:$F$46</definedName>
  </definedNames>
  <calcPr calcId="152511"/>
</workbook>
</file>

<file path=xl/calcChain.xml><?xml version="1.0" encoding="utf-8"?>
<calcChain xmlns="http://schemas.openxmlformats.org/spreadsheetml/2006/main">
  <c r="N3" i="2" l="1"/>
  <c r="P3" i="2"/>
  <c r="S3" i="2" s="1"/>
  <c r="Q3" i="2"/>
  <c r="R3" i="2"/>
  <c r="T3" i="2"/>
  <c r="U3" i="2"/>
  <c r="X3" i="2"/>
  <c r="Y3" i="2"/>
  <c r="N4" i="2"/>
  <c r="P4" i="2"/>
  <c r="Q4" i="2"/>
  <c r="S4" i="2" s="1"/>
  <c r="R4" i="2"/>
  <c r="T4" i="2"/>
  <c r="U4" i="2"/>
  <c r="X4" i="2"/>
  <c r="Y4" i="2"/>
  <c r="N5" i="2"/>
  <c r="P5" i="2"/>
  <c r="S5" i="2" s="1"/>
  <c r="Q5" i="2"/>
  <c r="R5" i="2"/>
  <c r="T5" i="2"/>
  <c r="U5" i="2"/>
  <c r="X5" i="2"/>
  <c r="Y5" i="2"/>
  <c r="N6" i="2"/>
  <c r="P6" i="2"/>
  <c r="Q6" i="2"/>
  <c r="R6" i="2"/>
  <c r="S6" i="2"/>
  <c r="T6" i="2"/>
  <c r="U6" i="2"/>
  <c r="X6" i="2"/>
  <c r="Y6" i="2"/>
  <c r="AB5" i="2"/>
  <c r="AB6" i="2"/>
  <c r="AB2" i="2"/>
  <c r="C27" i="1"/>
  <c r="C26" i="1"/>
  <c r="E17" i="1"/>
  <c r="E16" i="1"/>
  <c r="E12" i="1"/>
  <c r="X2" i="2"/>
  <c r="E18" i="1" s="1"/>
  <c r="T2" i="2"/>
  <c r="C20" i="1" s="1"/>
  <c r="B6" i="7"/>
  <c r="B5" i="7"/>
  <c r="B4" i="7"/>
  <c r="B3" i="7"/>
  <c r="B2" i="7"/>
  <c r="B5" i="6"/>
  <c r="B6" i="6"/>
  <c r="B3" i="6"/>
  <c r="B4" i="6"/>
  <c r="B2" i="6"/>
  <c r="U2" i="2"/>
  <c r="C21" i="1" s="1"/>
  <c r="Y2" i="2"/>
  <c r="E19" i="1" s="1"/>
  <c r="R2" i="2"/>
  <c r="C18" i="1" s="1"/>
  <c r="Q2" i="2"/>
  <c r="C17" i="1" s="1"/>
  <c r="P2" i="2"/>
  <c r="C16" i="1" s="1"/>
  <c r="C13" i="1"/>
  <c r="C12" i="1"/>
  <c r="C11" i="1"/>
  <c r="E11" i="1"/>
  <c r="E10" i="1"/>
  <c r="E9" i="1"/>
  <c r="C10" i="1"/>
  <c r="C9" i="1"/>
  <c r="AB3" i="2"/>
  <c r="D3" i="4" s="1"/>
  <c r="AB4" i="2"/>
  <c r="H1" i="1" l="1"/>
  <c r="D4" i="4"/>
  <c r="D2" i="4"/>
  <c r="S2" i="2"/>
  <c r="C19" i="1" s="1"/>
  <c r="C22" i="1" s="1"/>
  <c r="E22" i="1"/>
  <c r="C8" i="1"/>
  <c r="N2" i="2"/>
  <c r="E13" i="1" s="1"/>
  <c r="C24" i="1" l="1"/>
</calcChain>
</file>

<file path=xl/sharedStrings.xml><?xml version="1.0" encoding="utf-8"?>
<sst xmlns="http://schemas.openxmlformats.org/spreadsheetml/2006/main" count="124" uniqueCount="77">
  <si>
    <t>PAYSLIP FOR THE MONTH OF JULY 2016</t>
  </si>
  <si>
    <t>Name</t>
  </si>
  <si>
    <t>Designation</t>
  </si>
  <si>
    <t>Department</t>
  </si>
  <si>
    <t>Date Of Joining</t>
  </si>
  <si>
    <t>Employee ID</t>
  </si>
  <si>
    <t>Bank Name</t>
  </si>
  <si>
    <t>Bank A/C No</t>
  </si>
  <si>
    <t>Bank IFSC Code</t>
  </si>
  <si>
    <t>Working Days</t>
  </si>
  <si>
    <t>Payable Days</t>
  </si>
  <si>
    <t>Earnings</t>
  </si>
  <si>
    <t>Rs.</t>
  </si>
  <si>
    <t>Deductions</t>
  </si>
  <si>
    <t>Overtime Hours</t>
  </si>
  <si>
    <t>Overtime Days</t>
  </si>
  <si>
    <t>Basic @40% of CTC</t>
  </si>
  <si>
    <t>LTA @10% of Basic</t>
  </si>
  <si>
    <t>HRA</t>
  </si>
  <si>
    <t>Special Allowance</t>
  </si>
  <si>
    <t>Reimbursement</t>
  </si>
  <si>
    <t>Total Earnings</t>
  </si>
  <si>
    <t>Total Deductions</t>
  </si>
  <si>
    <t>Net Pay:</t>
  </si>
  <si>
    <t>Payment Mode</t>
  </si>
  <si>
    <t>Payment Status</t>
  </si>
  <si>
    <t>CTC - Monthly</t>
  </si>
  <si>
    <t>PF</t>
  </si>
  <si>
    <t>ESI</t>
  </si>
  <si>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This is a Computer Generated Payslip and doesn't require any signature.</t>
    </r>
  </si>
  <si>
    <t>NEFT/RTGS/IMPS</t>
  </si>
  <si>
    <t>File Name</t>
  </si>
  <si>
    <t>Mail ID</t>
  </si>
  <si>
    <t>Sarath Kumar M</t>
  </si>
  <si>
    <t>Audit</t>
  </si>
  <si>
    <t>Paid</t>
  </si>
  <si>
    <t>Gopinath S</t>
  </si>
  <si>
    <t>Path</t>
  </si>
  <si>
    <t>Month</t>
  </si>
  <si>
    <t>Shyam Sundar S</t>
  </si>
  <si>
    <t>Analyst</t>
  </si>
  <si>
    <t>Business Intelligence</t>
  </si>
  <si>
    <t>sarathorange0006@gmail.com</t>
  </si>
  <si>
    <t>collectionsatorange@gmail.com</t>
  </si>
  <si>
    <t>ShyamSundarSOrange.0005@gmail.com</t>
  </si>
  <si>
    <t>Employee Name</t>
  </si>
  <si>
    <t>To ID</t>
  </si>
  <si>
    <t>Other Deductions</t>
  </si>
  <si>
    <t>Loss of Pay</t>
  </si>
  <si>
    <t xml:space="preserve">Loss Of Pay </t>
  </si>
  <si>
    <t>Overtime</t>
  </si>
  <si>
    <t>Date</t>
  </si>
  <si>
    <t>Description</t>
  </si>
  <si>
    <t>Amount</t>
  </si>
  <si>
    <t>Logo Here</t>
  </si>
  <si>
    <t>Business Name</t>
  </si>
  <si>
    <t>Building Name, No,</t>
  </si>
  <si>
    <t>Street Name, Area Name, City Name,</t>
  </si>
  <si>
    <t>State Name, County Name - PIN/ZIP Code</t>
  </si>
  <si>
    <t>A</t>
  </si>
  <si>
    <t>B</t>
  </si>
  <si>
    <t>C</t>
  </si>
  <si>
    <t>D</t>
  </si>
  <si>
    <t>E</t>
  </si>
  <si>
    <t>a@xyz.com</t>
  </si>
  <si>
    <t>b@xyz.com</t>
  </si>
  <si>
    <t>c@xyz.com</t>
  </si>
  <si>
    <t>d@xyz.com</t>
  </si>
  <si>
    <t>e@xyz.com</t>
  </si>
  <si>
    <t>Marketing</t>
  </si>
  <si>
    <t>Delivery</t>
  </si>
  <si>
    <t>Management</t>
  </si>
  <si>
    <t>D:\Shares\Human Resources\Employee Documents\1 - A\Payslips</t>
  </si>
  <si>
    <t>D:\Shares\Human Resources\Employee Documents\2 - B\Payslips</t>
  </si>
  <si>
    <t>D:\Shares\Human Resources\Employee Documents\3 - C\Payslips</t>
  </si>
  <si>
    <t>D:\Shares\Human Resources\Employee Documents\4 - D\Payslips</t>
  </si>
  <si>
    <t>D:\Shares\Human Resources\Employee Documents\5 - E\Payslips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</si>
</sst>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_);_(* \(#,##0\);_(* &quot;-&quot;??_);_(@_)"/>
    <numFmt numFmtId="166" formatCode="\R00000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theme="9"/>
      <name val="Arial"/>
      <family val="2"/>
    </font>
    <font>
      <sz val="8"/>
      <name val="Tahoma"/>
      <family val="2"/>
    </font>
    <font>
      <sz val="10"/>
      <color theme="0" tint="-0.34998626667073579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/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double">
        <color theme="0" tint="-0.3499862666707357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9">
    <xf numFmtId="0" fontId="0" fillId="0" borderId="0" xfId="0"/>
    <xf numFmtId="0" fontId="3" fillId="0" borderId="0" xfId="0" applyFont="1" applyBorder="1" applyAlignment="1">
      <alignment horizontal="center" vertical="center" wrapText="1"/>
    </xf>
    <xf numFmtId="165" fontId="3" fillId="0" borderId="0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center" vertical="center" wrapText="1"/>
    </xf>
    <xf numFmtId="2" fontId="3" fillId="0" borderId="6" xfId="0" applyNumberFormat="1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2" fontId="3" fillId="0" borderId="8" xfId="0" applyNumberFormat="1" applyFont="1" applyBorder="1" applyAlignment="1">
      <alignment horizontal="center" vertical="center" wrapText="1"/>
    </xf>
    <xf numFmtId="0" fontId="2" fillId="0" borderId="8" xfId="0" applyFont="1" applyBorder="1" applyAlignment="1">
      <alignment horizontal="left" vertical="center" wrapText="1"/>
    </xf>
    <xf numFmtId="2" fontId="3" fillId="0" borderId="9" xfId="0" applyNumberFormat="1" applyFont="1" applyBorder="1" applyAlignment="1">
      <alignment horizontal="center" vertical="center" wrapText="1"/>
    </xf>
    <xf numFmtId="165" fontId="3" fillId="0" borderId="1" xfId="1" applyNumberFormat="1" applyFont="1" applyBorder="1" applyAlignment="1">
      <alignment horizontal="center" vertical="center"/>
    </xf>
    <xf numFmtId="165" fontId="3" fillId="0" borderId="6" xfId="1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center" wrapText="1"/>
    </xf>
    <xf numFmtId="165" fontId="3" fillId="0" borderId="11" xfId="1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165" fontId="2" fillId="0" borderId="14" xfId="1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wrapText="1"/>
    </xf>
    <xf numFmtId="165" fontId="2" fillId="0" borderId="15" xfId="1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NumberFormat="1" applyFont="1" applyBorder="1" applyAlignment="1">
      <alignment horizontal="left" vertical="center"/>
    </xf>
    <xf numFmtId="0" fontId="2" fillId="0" borderId="0" xfId="0" applyFont="1"/>
    <xf numFmtId="0" fontId="2" fillId="0" borderId="1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166" fontId="0" fillId="0" borderId="0" xfId="0" applyNumberFormat="1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14" fontId="3" fillId="0" borderId="1" xfId="0" applyNumberFormat="1" applyFont="1" applyBorder="1" applyAlignment="1">
      <alignment horizontal="center" vertical="center" wrapText="1"/>
    </xf>
    <xf numFmtId="17" fontId="0" fillId="0" borderId="0" xfId="0" applyNumberFormat="1"/>
    <xf numFmtId="0" fontId="6" fillId="0" borderId="0" xfId="0" applyFont="1" applyBorder="1" applyAlignment="1">
      <alignment horizontal="left" vertical="center"/>
    </xf>
    <xf numFmtId="165" fontId="1" fillId="0" borderId="6" xfId="1" applyNumberFormat="1" applyFont="1" applyBorder="1" applyAlignment="1">
      <alignment horizontal="center" vertical="center"/>
    </xf>
    <xf numFmtId="165" fontId="3" fillId="0" borderId="12" xfId="1" quotePrefix="1" applyNumberFormat="1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right" vertical="center"/>
    </xf>
    <xf numFmtId="0" fontId="2" fillId="0" borderId="0" xfId="0" applyNumberFormat="1" applyFont="1"/>
    <xf numFmtId="0" fontId="0" fillId="0" borderId="0" xfId="0" applyNumberFormat="1"/>
    <xf numFmtId="0" fontId="3" fillId="0" borderId="4" xfId="0" applyNumberFormat="1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</xdr:row>
          <xdr:rowOff>28575</xdr:rowOff>
        </xdr:from>
        <xdr:to>
          <xdr:col>7</xdr:col>
          <xdr:colOff>581025</xdr:colOff>
          <xdr:row>2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Previous Emp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</xdr:row>
          <xdr:rowOff>28575</xdr:rowOff>
        </xdr:from>
        <xdr:to>
          <xdr:col>9</xdr:col>
          <xdr:colOff>466725</xdr:colOff>
          <xdr:row>2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 Emp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28575</xdr:rowOff>
        </xdr:from>
        <xdr:to>
          <xdr:col>11</xdr:col>
          <xdr:colOff>352425</xdr:colOff>
          <xdr:row>2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85725</xdr:rowOff>
        </xdr:from>
        <xdr:to>
          <xdr:col>11</xdr:col>
          <xdr:colOff>504825</xdr:colOff>
          <xdr:row>3</xdr:row>
          <xdr:rowOff>57150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Navigations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29"/>
  <sheetViews>
    <sheetView showGridLines="0" tabSelected="1" view="pageBreakPreview" zoomScaleSheetLayoutView="100" workbookViewId="0">
      <selection activeCell="E8" sqref="E8"/>
    </sheetView>
  </sheetViews>
  <sheetFormatPr defaultRowHeight="12.75" x14ac:dyDescent="0.2"/>
  <cols>
    <col min="1" max="1" width="9.140625" style="7"/>
    <col min="2" max="2" width="27.5703125" style="7" customWidth="1"/>
    <col min="3" max="3" width="19.5703125" style="7" bestFit="1" customWidth="1"/>
    <col min="4" max="4" width="18.85546875" style="7" customWidth="1"/>
    <col min="5" max="5" width="21.5703125" style="7" customWidth="1"/>
    <col min="6" max="16384" width="9.140625" style="7"/>
  </cols>
  <sheetData>
    <row r="1" spans="2:8" x14ac:dyDescent="0.2">
      <c r="H1" s="45" t="str">
        <f>VLOOKUP(E8,Data!$B:$AB,27,0)</f>
        <v>D:\Shares\Human Resources\Employee Documents\1 - A\Payslips\R00001 - Jul-16.pdf</v>
      </c>
    </row>
    <row r="2" spans="2:8" x14ac:dyDescent="0.2">
      <c r="B2" s="54" t="s">
        <v>54</v>
      </c>
      <c r="D2" s="34"/>
      <c r="E2" s="9" t="s">
        <v>55</v>
      </c>
    </row>
    <row r="3" spans="2:8" x14ac:dyDescent="0.2">
      <c r="B3" s="53"/>
      <c r="D3" s="6"/>
      <c r="E3" s="55" t="s">
        <v>56</v>
      </c>
    </row>
    <row r="4" spans="2:8" x14ac:dyDescent="0.2">
      <c r="B4" s="53"/>
      <c r="D4" s="6"/>
      <c r="E4" s="55" t="s">
        <v>57</v>
      </c>
    </row>
    <row r="5" spans="2:8" x14ac:dyDescent="0.2">
      <c r="B5" s="53"/>
      <c r="D5" s="6"/>
      <c r="E5" s="55" t="s">
        <v>58</v>
      </c>
    </row>
    <row r="7" spans="2:8" ht="15.75" thickBot="1" x14ac:dyDescent="0.25">
      <c r="B7" s="52" t="s">
        <v>0</v>
      </c>
      <c r="C7" s="52"/>
      <c r="D7" s="52"/>
      <c r="E7" s="52"/>
    </row>
    <row r="8" spans="2:8" s="1" customFormat="1" ht="13.5" thickTop="1" x14ac:dyDescent="0.2">
      <c r="B8" s="13" t="s">
        <v>1</v>
      </c>
      <c r="C8" s="14" t="str">
        <f>VLOOKUP(E8,Data!$B:$AA,2,0)</f>
        <v>A</v>
      </c>
      <c r="D8" s="15" t="s">
        <v>5</v>
      </c>
      <c r="E8" s="58">
        <v>1</v>
      </c>
    </row>
    <row r="9" spans="2:8" s="1" customFormat="1" x14ac:dyDescent="0.2">
      <c r="B9" s="49" t="s">
        <v>2</v>
      </c>
      <c r="C9" s="50" t="str">
        <f>VLOOKUP(E8,Data!$B:$AA,4,0)</f>
        <v>Analyst</v>
      </c>
      <c r="D9" s="38" t="s">
        <v>6</v>
      </c>
      <c r="E9" s="51" t="str">
        <f>IF(VLOOKUP(E8,Data!$B:$AB,7,0)=0,"")</f>
        <v/>
      </c>
    </row>
    <row r="10" spans="2:8" s="1" customFormat="1" x14ac:dyDescent="0.2">
      <c r="B10" s="16" t="s">
        <v>3</v>
      </c>
      <c r="C10" s="11" t="str">
        <f>VLOOKUP(E8,Data!$B:$AA,5,0)</f>
        <v>Marketing</v>
      </c>
      <c r="D10" s="10" t="s">
        <v>7</v>
      </c>
      <c r="E10" s="17" t="str">
        <f>IF(VLOOKUP(E8,Data!$B:$AB,8,0)=0,"")</f>
        <v/>
      </c>
    </row>
    <row r="11" spans="2:8" s="1" customFormat="1" x14ac:dyDescent="0.2">
      <c r="B11" s="16" t="s">
        <v>4</v>
      </c>
      <c r="C11" s="43">
        <f>VLOOKUP(E8,Data!$B:$AA,6,0)</f>
        <v>42548</v>
      </c>
      <c r="D11" s="10" t="s">
        <v>8</v>
      </c>
      <c r="E11" s="17" t="str">
        <f>IF(VLOOKUP(E8,Data!$B:$AB,9,0)=0,"")</f>
        <v/>
      </c>
    </row>
    <row r="12" spans="2:8" s="1" customFormat="1" x14ac:dyDescent="0.2">
      <c r="B12" s="16" t="s">
        <v>9</v>
      </c>
      <c r="C12" s="12">
        <f>VLOOKUP(E8,Data!$B:$AA,10,0)</f>
        <v>26</v>
      </c>
      <c r="D12" s="10" t="s">
        <v>14</v>
      </c>
      <c r="E12" s="18">
        <f>VLOOKUP(E8,Data!$B:$AB,12,0)</f>
        <v>0</v>
      </c>
    </row>
    <row r="13" spans="2:8" s="1" customFormat="1" ht="13.5" thickBot="1" x14ac:dyDescent="0.25">
      <c r="B13" s="19" t="s">
        <v>10</v>
      </c>
      <c r="C13" s="20">
        <f>VLOOKUP(E8,Data!$B:$AA,11,0)</f>
        <v>22.5</v>
      </c>
      <c r="D13" s="21" t="s">
        <v>15</v>
      </c>
      <c r="E13" s="22">
        <f>VLOOKUP(E8,Data!$B:$AB,13,0)</f>
        <v>0</v>
      </c>
    </row>
    <row r="14" spans="2:8" ht="14.25" thickTop="1" thickBot="1" x14ac:dyDescent="0.25"/>
    <row r="15" spans="2:8" ht="14.25" thickTop="1" thickBot="1" x14ac:dyDescent="0.25">
      <c r="B15" s="27" t="s">
        <v>11</v>
      </c>
      <c r="C15" s="28" t="s">
        <v>12</v>
      </c>
      <c r="D15" s="28" t="s">
        <v>13</v>
      </c>
      <c r="E15" s="29" t="s">
        <v>12</v>
      </c>
    </row>
    <row r="16" spans="2:8" ht="13.5" thickTop="1" x14ac:dyDescent="0.2">
      <c r="B16" s="25" t="s">
        <v>16</v>
      </c>
      <c r="C16" s="26">
        <f>VLOOKUP(E8,Data!$B:$AB,15,0)</f>
        <v>3000</v>
      </c>
      <c r="D16" s="37" t="s">
        <v>27</v>
      </c>
      <c r="E16" s="47">
        <f>VLOOKUP(E8,Data!$B:$AB,22,0)</f>
        <v>0</v>
      </c>
    </row>
    <row r="17" spans="2:5" x14ac:dyDescent="0.2">
      <c r="B17" s="16" t="s">
        <v>17</v>
      </c>
      <c r="C17" s="23">
        <f>VLOOKUP(E8,Data!$B:$AB,16,0)</f>
        <v>750</v>
      </c>
      <c r="D17" s="10" t="s">
        <v>28</v>
      </c>
      <c r="E17" s="46">
        <f>VLOOKUP(E8,Data!$B:$AB,21,0)</f>
        <v>0</v>
      </c>
    </row>
    <row r="18" spans="2:5" x14ac:dyDescent="0.2">
      <c r="B18" s="16" t="s">
        <v>18</v>
      </c>
      <c r="C18" s="23">
        <f>VLOOKUP(E8,Data!$B:$AB,17,0)</f>
        <v>3000</v>
      </c>
      <c r="D18" s="10" t="s">
        <v>47</v>
      </c>
      <c r="E18" s="24">
        <f>VLOOKUP(E8,Data!$B:$AB,23,0)</f>
        <v>0</v>
      </c>
    </row>
    <row r="19" spans="2:5" x14ac:dyDescent="0.2">
      <c r="B19" s="16" t="s">
        <v>19</v>
      </c>
      <c r="C19" s="23">
        <f>VLOOKUP(E8,Data!$B:$AB,18,0)</f>
        <v>750</v>
      </c>
      <c r="D19" s="10" t="s">
        <v>49</v>
      </c>
      <c r="E19" s="24">
        <f>VLOOKUP(E8,Data!$B:$AB,24,0)</f>
        <v>1009.6153846153845</v>
      </c>
    </row>
    <row r="20" spans="2:5" x14ac:dyDescent="0.2">
      <c r="B20" s="16" t="s">
        <v>20</v>
      </c>
      <c r="C20" s="23">
        <f>VLOOKUP(E8,Data!$B:$AB,19,0)</f>
        <v>0</v>
      </c>
      <c r="D20" s="10"/>
      <c r="E20" s="24"/>
    </row>
    <row r="21" spans="2:5" ht="13.5" thickBot="1" x14ac:dyDescent="0.25">
      <c r="B21" s="16" t="s">
        <v>50</v>
      </c>
      <c r="C21" s="23">
        <f>VLOOKUP(E8,Data!$B:$AB,20,0)</f>
        <v>0</v>
      </c>
      <c r="D21" s="10"/>
      <c r="E21" s="24"/>
    </row>
    <row r="22" spans="2:5" ht="14.25" thickTop="1" thickBot="1" x14ac:dyDescent="0.25">
      <c r="B22" s="30" t="s">
        <v>21</v>
      </c>
      <c r="C22" s="31">
        <f>SUM(C16:C21)</f>
        <v>7500</v>
      </c>
      <c r="D22" s="32" t="s">
        <v>22</v>
      </c>
      <c r="E22" s="33">
        <f>SUM(E16:E21)</f>
        <v>1009.6153846153845</v>
      </c>
    </row>
    <row r="23" spans="2:5" ht="13.5" thickTop="1" x14ac:dyDescent="0.2">
      <c r="C23" s="4"/>
      <c r="D23" s="4"/>
      <c r="E23" s="4"/>
    </row>
    <row r="24" spans="2:5" x14ac:dyDescent="0.2">
      <c r="B24" s="34" t="s">
        <v>23</v>
      </c>
      <c r="C24" s="35" t="str">
        <f>"Rs."&amp;(TEXT((ROUNDUP(C22-E22,0)),"0.00"))&amp;" ("&amp;WordNum((ROUNDUP(C22-E22,0)))&amp;")"</f>
        <v>Rs.6491.00 (Six thousand Four hundred and Ninety One)</v>
      </c>
      <c r="D24" s="2"/>
      <c r="E24" s="4"/>
    </row>
    <row r="25" spans="2:5" x14ac:dyDescent="0.2">
      <c r="C25" s="4"/>
      <c r="D25" s="2"/>
      <c r="E25" s="4"/>
    </row>
    <row r="26" spans="2:5" x14ac:dyDescent="0.2">
      <c r="B26" s="38" t="s">
        <v>24</v>
      </c>
      <c r="C26" s="48" t="str">
        <f>VLOOKUP(E8,Data!$B:$AC,25,0)</f>
        <v>NEFT/RTGS/IMPS</v>
      </c>
      <c r="D26" s="8"/>
      <c r="E26" s="5"/>
    </row>
    <row r="27" spans="2:5" x14ac:dyDescent="0.2">
      <c r="B27" s="38" t="s">
        <v>25</v>
      </c>
      <c r="C27" s="48" t="str">
        <f>VLOOKUP(E8,Data!$B:$AC,26,0)</f>
        <v>Paid</v>
      </c>
      <c r="E27" s="8"/>
    </row>
    <row r="29" spans="2:5" x14ac:dyDescent="0.2">
      <c r="B29" s="6" t="s">
        <v>29</v>
      </c>
    </row>
  </sheetData>
  <mergeCells count="2">
    <mergeCell ref="B7:E7"/>
    <mergeCell ref="B2:B5"/>
  </mergeCells>
  <phoneticPr fontId="0" type="noConversion"/>
  <dataValidations count="1">
    <dataValidation type="whole" allowBlank="1" showInputMessage="1" showErrorMessage="1" sqref="E8">
      <formula1>1</formula1>
      <formula2>10000</formula2>
    </dataValidation>
  </dataValidations>
  <pageMargins left="0.75" right="0.75" top="1" bottom="1" header="0.5" footer="0.5"/>
  <pageSetup scale="86" orientation="portrait" horizontalDpi="300" verticalDpi="300" r:id="rId1"/>
  <headerFooter alignWithMargins="0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PREEmp">
                <anchor moveWithCells="1" sizeWithCells="1">
                  <from>
                    <xdr:col>6</xdr:col>
                    <xdr:colOff>228600</xdr:colOff>
                    <xdr:row>1</xdr:row>
                    <xdr:rowOff>28575</xdr:rowOff>
                  </from>
                  <to>
                    <xdr:col>7</xdr:col>
                    <xdr:colOff>581025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NXTEmp">
                <anchor moveWithCells="1" sizeWithCells="1">
                  <from>
                    <xdr:col>8</xdr:col>
                    <xdr:colOff>114300</xdr:colOff>
                    <xdr:row>1</xdr:row>
                    <xdr:rowOff>28575</xdr:rowOff>
                  </from>
                  <to>
                    <xdr:col>9</xdr:col>
                    <xdr:colOff>466725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SlipSave">
                <anchor moveWithCells="1" sizeWithCells="1">
                  <from>
                    <xdr:col>10</xdr:col>
                    <xdr:colOff>0</xdr:colOff>
                    <xdr:row>1</xdr:row>
                    <xdr:rowOff>28575</xdr:rowOff>
                  </from>
                  <to>
                    <xdr:col>11</xdr:col>
                    <xdr:colOff>352425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Group Box 12">
              <controlPr defaultSize="0" autoFill="0" autoPict="0">
                <anchor moveWithCells="1">
                  <from>
                    <xdr:col>6</xdr:col>
                    <xdr:colOff>76200</xdr:colOff>
                    <xdr:row>0</xdr:row>
                    <xdr:rowOff>85725</xdr:rowOff>
                  </from>
                  <to>
                    <xdr:col>11</xdr:col>
                    <xdr:colOff>504825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6"/>
  <sheetViews>
    <sheetView workbookViewId="0">
      <selection activeCell="B1" sqref="B1"/>
    </sheetView>
  </sheetViews>
  <sheetFormatPr defaultRowHeight="12.75" x14ac:dyDescent="0.2"/>
  <cols>
    <col min="2" max="2" width="15.7109375" style="57" customWidth="1"/>
    <col min="3" max="27" width="15.7109375" customWidth="1"/>
    <col min="28" max="28" width="92.42578125" customWidth="1"/>
  </cols>
  <sheetData>
    <row r="1" spans="1:29" s="36" customFormat="1" x14ac:dyDescent="0.2">
      <c r="A1" s="36" t="s">
        <v>38</v>
      </c>
      <c r="B1" s="56" t="s">
        <v>5</v>
      </c>
      <c r="C1" s="36" t="s">
        <v>45</v>
      </c>
      <c r="D1" s="36" t="s">
        <v>32</v>
      </c>
      <c r="E1" s="36" t="s">
        <v>2</v>
      </c>
      <c r="F1" s="36" t="s">
        <v>3</v>
      </c>
      <c r="G1" s="36" t="s">
        <v>4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14</v>
      </c>
      <c r="N1" s="36" t="s">
        <v>15</v>
      </c>
      <c r="O1" s="36" t="s">
        <v>26</v>
      </c>
      <c r="P1" s="36" t="s">
        <v>16</v>
      </c>
      <c r="Q1" s="36" t="s">
        <v>17</v>
      </c>
      <c r="R1" s="36" t="s">
        <v>18</v>
      </c>
      <c r="S1" s="36" t="s">
        <v>19</v>
      </c>
      <c r="T1" s="36" t="s">
        <v>20</v>
      </c>
      <c r="U1" s="36" t="s">
        <v>50</v>
      </c>
      <c r="V1" s="36" t="s">
        <v>28</v>
      </c>
      <c r="W1" s="36" t="s">
        <v>27</v>
      </c>
      <c r="X1" s="36" t="s">
        <v>47</v>
      </c>
      <c r="Y1" s="36" t="s">
        <v>48</v>
      </c>
      <c r="Z1" s="36" t="s">
        <v>24</v>
      </c>
      <c r="AA1" s="36" t="s">
        <v>25</v>
      </c>
      <c r="AB1" s="36" t="s">
        <v>31</v>
      </c>
      <c r="AC1" s="36" t="s">
        <v>37</v>
      </c>
    </row>
    <row r="2" spans="1:29" x14ac:dyDescent="0.2">
      <c r="A2" s="44">
        <v>42552</v>
      </c>
      <c r="B2" s="57">
        <v>1</v>
      </c>
      <c r="C2" s="40" t="s">
        <v>59</v>
      </c>
      <c r="D2" t="s">
        <v>64</v>
      </c>
      <c r="E2" s="40" t="s">
        <v>40</v>
      </c>
      <c r="F2" s="40" t="s">
        <v>69</v>
      </c>
      <c r="G2" s="41">
        <v>42548</v>
      </c>
      <c r="H2" s="3"/>
      <c r="J2" s="3"/>
      <c r="K2">
        <v>26</v>
      </c>
      <c r="L2">
        <v>22.5</v>
      </c>
      <c r="M2">
        <v>0</v>
      </c>
      <c r="N2">
        <f>M2/8</f>
        <v>0</v>
      </c>
      <c r="O2" s="42">
        <v>7500</v>
      </c>
      <c r="P2" s="42">
        <f>O2*40/100</f>
        <v>3000</v>
      </c>
      <c r="Q2" s="42">
        <f>O2*10/100</f>
        <v>750</v>
      </c>
      <c r="R2" s="42">
        <f>O2*40/100</f>
        <v>3000</v>
      </c>
      <c r="S2" s="42">
        <f>O2-(SUM(P2:R2))</f>
        <v>750</v>
      </c>
      <c r="T2" s="42">
        <f>SUMIFS(Reimbursement!$F:$F,Reimbursement!$C:$C,Data!B2)</f>
        <v>0</v>
      </c>
      <c r="U2" s="42">
        <f>M2*((O2/K2)/8)</f>
        <v>0</v>
      </c>
      <c r="V2" s="42">
        <v>0</v>
      </c>
      <c r="W2" s="42">
        <v>0</v>
      </c>
      <c r="X2" s="42">
        <f>SUMIFS('Other Deductions'!$F:$F,'Other Deductions'!$C:$C,Data!B2)</f>
        <v>0</v>
      </c>
      <c r="Y2" s="42">
        <f>(K2-L2)*(O2/K2)</f>
        <v>1009.6153846153845</v>
      </c>
      <c r="Z2" s="3" t="s">
        <v>30</v>
      </c>
      <c r="AA2" s="3" t="s">
        <v>35</v>
      </c>
      <c r="AB2" t="str">
        <f>AC2&amp;"\"&amp;(TEXT(B2,"\R00000")&amp;" - "&amp;TEXT(A2,"mmm-yy")&amp;".pdf")</f>
        <v>D:\Shares\Human Resources\Employee Documents\1 - A\Payslips\R00001 - Jul-16.pdf</v>
      </c>
      <c r="AC2" s="40" t="s">
        <v>72</v>
      </c>
    </row>
    <row r="3" spans="1:29" x14ac:dyDescent="0.2">
      <c r="A3" s="44">
        <v>42552</v>
      </c>
      <c r="B3" s="57">
        <v>2</v>
      </c>
      <c r="C3" s="40" t="s">
        <v>60</v>
      </c>
      <c r="D3" t="s">
        <v>65</v>
      </c>
      <c r="E3" s="40" t="s">
        <v>40</v>
      </c>
      <c r="F3" s="40" t="s">
        <v>70</v>
      </c>
      <c r="G3" s="41">
        <v>42555</v>
      </c>
      <c r="H3" s="3"/>
      <c r="K3">
        <v>26</v>
      </c>
      <c r="L3">
        <v>20</v>
      </c>
      <c r="M3">
        <v>0</v>
      </c>
      <c r="N3">
        <f t="shared" ref="N3:N6" si="0">M3/8</f>
        <v>0</v>
      </c>
      <c r="O3" s="42">
        <v>7500</v>
      </c>
      <c r="P3" s="42">
        <f t="shared" ref="P3:P6" si="1">O3*40/100</f>
        <v>3000</v>
      </c>
      <c r="Q3" s="42">
        <f t="shared" ref="Q3:Q6" si="2">O3*10/100</f>
        <v>750</v>
      </c>
      <c r="R3" s="42">
        <f t="shared" ref="R3:R6" si="3">O3*40/100</f>
        <v>3000</v>
      </c>
      <c r="S3" s="42">
        <f t="shared" ref="S3:S6" si="4">O3-(SUM(P3:R3))</f>
        <v>750</v>
      </c>
      <c r="T3" s="42">
        <f>SUMIFS(Reimbursement!$F:$F,Reimbursement!$C:$C,Data!B3)</f>
        <v>0</v>
      </c>
      <c r="U3" s="42">
        <f t="shared" ref="U3:U6" si="5">M3*((O3/K3)/8)</f>
        <v>0</v>
      </c>
      <c r="V3" s="42">
        <v>0</v>
      </c>
      <c r="W3" s="42">
        <v>0</v>
      </c>
      <c r="X3" s="42">
        <f>SUMIFS('Other Deductions'!$F:$F,'Other Deductions'!$C:$C,Data!B3)</f>
        <v>0</v>
      </c>
      <c r="Y3" s="42">
        <f t="shared" ref="Y3:Y6" si="6">(K3-L3)*(O3/K3)</f>
        <v>1730.7692307692307</v>
      </c>
      <c r="Z3" s="3" t="s">
        <v>30</v>
      </c>
      <c r="AA3" s="3" t="s">
        <v>35</v>
      </c>
      <c r="AB3" t="str">
        <f t="shared" ref="AB3:AB4" si="7">AC3&amp;"\"&amp;(TEXT(B3,"\R00000")&amp;" - "&amp;TEXT(A3,"mmm-yy")&amp;".pdf")</f>
        <v>D:\Shares\Human Resources\Employee Documents\2 - B\Payslips\R00002 - Jul-16.pdf</v>
      </c>
      <c r="AC3" s="40" t="s">
        <v>73</v>
      </c>
    </row>
    <row r="4" spans="1:29" x14ac:dyDescent="0.2">
      <c r="A4" s="44">
        <v>42552</v>
      </c>
      <c r="B4" s="57">
        <v>3</v>
      </c>
      <c r="C4" s="40" t="s">
        <v>61</v>
      </c>
      <c r="D4" t="s">
        <v>66</v>
      </c>
      <c r="E4" s="40" t="s">
        <v>40</v>
      </c>
      <c r="F4" s="40" t="s">
        <v>41</v>
      </c>
      <c r="G4" s="41">
        <v>42480</v>
      </c>
      <c r="H4" s="3"/>
      <c r="K4">
        <v>26</v>
      </c>
      <c r="L4">
        <v>18</v>
      </c>
      <c r="M4">
        <v>0</v>
      </c>
      <c r="N4">
        <f t="shared" si="0"/>
        <v>0</v>
      </c>
      <c r="O4" s="42">
        <v>7500</v>
      </c>
      <c r="P4" s="42">
        <f t="shared" si="1"/>
        <v>3000</v>
      </c>
      <c r="Q4" s="42">
        <f t="shared" si="2"/>
        <v>750</v>
      </c>
      <c r="R4" s="42">
        <f t="shared" si="3"/>
        <v>3000</v>
      </c>
      <c r="S4" s="42">
        <f t="shared" si="4"/>
        <v>750</v>
      </c>
      <c r="T4" s="42">
        <f>SUMIFS(Reimbursement!$F:$F,Reimbursement!$C:$C,Data!B4)</f>
        <v>0</v>
      </c>
      <c r="U4" s="42">
        <f t="shared" si="5"/>
        <v>0</v>
      </c>
      <c r="V4" s="42">
        <v>0</v>
      </c>
      <c r="W4" s="42">
        <v>0</v>
      </c>
      <c r="X4" s="42">
        <f>SUMIFS('Other Deductions'!$F:$F,'Other Deductions'!$C:$C,Data!B4)</f>
        <v>0</v>
      </c>
      <c r="Y4" s="42">
        <f t="shared" si="6"/>
        <v>2307.6923076923076</v>
      </c>
      <c r="Z4" s="3" t="s">
        <v>30</v>
      </c>
      <c r="AA4" s="3" t="s">
        <v>35</v>
      </c>
      <c r="AB4" t="str">
        <f t="shared" si="7"/>
        <v>D:\Shares\Human Resources\Employee Documents\3 - C\Payslips\R00003 - Jul-16.pdf</v>
      </c>
      <c r="AC4" s="40" t="s">
        <v>74</v>
      </c>
    </row>
    <row r="5" spans="1:29" x14ac:dyDescent="0.2">
      <c r="A5" s="44">
        <v>42552</v>
      </c>
      <c r="B5" s="57">
        <v>4</v>
      </c>
      <c r="C5" s="40" t="s">
        <v>62</v>
      </c>
      <c r="D5" t="s">
        <v>67</v>
      </c>
      <c r="E5" s="40" t="s">
        <v>40</v>
      </c>
      <c r="F5" s="40" t="s">
        <v>34</v>
      </c>
      <c r="G5" s="41">
        <v>42548</v>
      </c>
      <c r="H5" s="3"/>
      <c r="K5">
        <v>26</v>
      </c>
      <c r="L5">
        <v>19</v>
      </c>
      <c r="M5">
        <v>0</v>
      </c>
      <c r="N5">
        <f t="shared" si="0"/>
        <v>0</v>
      </c>
      <c r="O5" s="42">
        <v>7500</v>
      </c>
      <c r="P5" s="42">
        <f t="shared" si="1"/>
        <v>3000</v>
      </c>
      <c r="Q5" s="42">
        <f t="shared" si="2"/>
        <v>750</v>
      </c>
      <c r="R5" s="42">
        <f t="shared" si="3"/>
        <v>3000</v>
      </c>
      <c r="S5" s="42">
        <f t="shared" si="4"/>
        <v>750</v>
      </c>
      <c r="T5" s="42">
        <f>SUMIFS(Reimbursement!$F:$F,Reimbursement!$C:$C,Data!B5)</f>
        <v>0</v>
      </c>
      <c r="U5" s="42">
        <f t="shared" si="5"/>
        <v>0</v>
      </c>
      <c r="V5" s="42">
        <v>0</v>
      </c>
      <c r="W5" s="42">
        <v>0</v>
      </c>
      <c r="X5" s="42">
        <f>SUMIFS('Other Deductions'!$F:$F,'Other Deductions'!$C:$C,Data!B5)</f>
        <v>0</v>
      </c>
      <c r="Y5" s="42">
        <f t="shared" si="6"/>
        <v>2019.2307692307691</v>
      </c>
      <c r="Z5" s="3" t="s">
        <v>30</v>
      </c>
      <c r="AA5" s="3" t="s">
        <v>35</v>
      </c>
      <c r="AB5" t="str">
        <f t="shared" ref="AB5:AB6" si="8">AC5&amp;"\"&amp;(TEXT(B5,"\R00000")&amp;" - "&amp;TEXT(A5,"mmm-yy")&amp;".pdf")</f>
        <v>D:\Shares\Human Resources\Employee Documents\4 - D\Payslips\R00004 - Jul-16.pdf</v>
      </c>
      <c r="AC5" s="40" t="s">
        <v>75</v>
      </c>
    </row>
    <row r="6" spans="1:29" x14ac:dyDescent="0.2">
      <c r="A6" s="44">
        <v>42552</v>
      </c>
      <c r="B6" s="57">
        <v>5</v>
      </c>
      <c r="C6" s="40" t="s">
        <v>63</v>
      </c>
      <c r="D6" t="s">
        <v>68</v>
      </c>
      <c r="E6" s="40" t="s">
        <v>40</v>
      </c>
      <c r="F6" s="40" t="s">
        <v>71</v>
      </c>
      <c r="G6" s="41">
        <v>42555</v>
      </c>
      <c r="K6">
        <v>26</v>
      </c>
      <c r="L6">
        <v>21</v>
      </c>
      <c r="M6">
        <v>0</v>
      </c>
      <c r="N6">
        <f t="shared" si="0"/>
        <v>0</v>
      </c>
      <c r="O6" s="42">
        <v>7500</v>
      </c>
      <c r="P6" s="42">
        <f t="shared" si="1"/>
        <v>3000</v>
      </c>
      <c r="Q6" s="42">
        <f t="shared" si="2"/>
        <v>750</v>
      </c>
      <c r="R6" s="42">
        <f t="shared" si="3"/>
        <v>3000</v>
      </c>
      <c r="S6" s="42">
        <f t="shared" si="4"/>
        <v>750</v>
      </c>
      <c r="T6" s="42">
        <f>SUMIFS(Reimbursement!$F:$F,Reimbursement!$C:$C,Data!B6)</f>
        <v>0</v>
      </c>
      <c r="U6" s="42">
        <f t="shared" si="5"/>
        <v>0</v>
      </c>
      <c r="V6" s="42">
        <v>0</v>
      </c>
      <c r="W6" s="42">
        <v>0</v>
      </c>
      <c r="X6" s="42">
        <f>SUMIFS('Other Deductions'!$F:$F,'Other Deductions'!$C:$C,Data!B6)</f>
        <v>0</v>
      </c>
      <c r="Y6" s="42">
        <f t="shared" si="6"/>
        <v>1442.3076923076924</v>
      </c>
      <c r="Z6" s="3" t="s">
        <v>30</v>
      </c>
      <c r="AA6" s="3" t="s">
        <v>35</v>
      </c>
      <c r="AB6" t="str">
        <f t="shared" si="8"/>
        <v>D:\Shares\Human Resources\Employee Documents\5 - E\Payslips\R00005 - Jul-16.pdf</v>
      </c>
      <c r="AC6" s="40" t="s">
        <v>76</v>
      </c>
    </row>
  </sheetData>
  <phoneticPr fontId="0" type="noConversion"/>
  <dataValidations count="2">
    <dataValidation type="list" allowBlank="1" showInputMessage="1" showErrorMessage="1" sqref="Z2:Z6">
      <formula1>"Cash,Cheque,NEFT/RTGS/IMPS"</formula1>
    </dataValidation>
    <dataValidation type="list" allowBlank="1" showInputMessage="1" showErrorMessage="1" sqref="AA2:AA6">
      <formula1>"Paid,Success,Deposited,Pending"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workbookViewId="0"/>
  </sheetViews>
  <sheetFormatPr defaultRowHeight="12.75" x14ac:dyDescent="0.2"/>
  <cols>
    <col min="1" max="1" width="12.42578125" bestFit="1" customWidth="1"/>
    <col min="2" max="2" width="16" bestFit="1" customWidth="1"/>
    <col min="3" max="3" width="35.85546875" bestFit="1" customWidth="1"/>
    <col min="4" max="4" width="91.28515625" bestFit="1" customWidth="1"/>
  </cols>
  <sheetData>
    <row r="1" spans="1:4" x14ac:dyDescent="0.2">
      <c r="A1" s="36" t="s">
        <v>5</v>
      </c>
      <c r="B1" s="36" t="s">
        <v>45</v>
      </c>
      <c r="C1" s="36" t="s">
        <v>46</v>
      </c>
      <c r="D1" s="36" t="s">
        <v>31</v>
      </c>
    </row>
    <row r="2" spans="1:4" x14ac:dyDescent="0.2">
      <c r="A2" s="39">
        <v>6</v>
      </c>
      <c r="B2" s="40" t="s">
        <v>33</v>
      </c>
      <c r="C2" t="s">
        <v>42</v>
      </c>
      <c r="D2" t="e">
        <f>VLOOKUP(A2,Data!$B:$AB,27,0)</f>
        <v>#N/A</v>
      </c>
    </row>
    <row r="3" spans="1:4" x14ac:dyDescent="0.2">
      <c r="A3" s="39">
        <v>7</v>
      </c>
      <c r="B3" s="40" t="s">
        <v>36</v>
      </c>
      <c r="C3" t="s">
        <v>43</v>
      </c>
      <c r="D3" t="e">
        <f>VLOOKUP(A3,Data!$B:$AB,27,0)</f>
        <v>#N/A</v>
      </c>
    </row>
    <row r="4" spans="1:4" x14ac:dyDescent="0.2">
      <c r="A4" s="39">
        <v>5</v>
      </c>
      <c r="B4" s="40" t="s">
        <v>39</v>
      </c>
      <c r="C4" s="40" t="s">
        <v>44</v>
      </c>
      <c r="D4" t="str">
        <f>VLOOKUP(A4,Data!$B:$AB,27,0)</f>
        <v>D:\Shares\Human Resources\Employee Documents\5 - E\Payslips\R00005 - Jul-16.pdf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workbookViewId="0"/>
  </sheetViews>
  <sheetFormatPr defaultRowHeight="12.75" x14ac:dyDescent="0.2"/>
  <sheetData>
    <row r="1" spans="1:6" x14ac:dyDescent="0.2">
      <c r="A1" s="36" t="s">
        <v>51</v>
      </c>
      <c r="B1" s="36" t="s">
        <v>38</v>
      </c>
      <c r="C1" s="36" t="s">
        <v>5</v>
      </c>
      <c r="D1" s="36" t="s">
        <v>45</v>
      </c>
      <c r="E1" s="36" t="s">
        <v>52</v>
      </c>
      <c r="F1" s="36" t="s">
        <v>53</v>
      </c>
    </row>
    <row r="2" spans="1:6" x14ac:dyDescent="0.2">
      <c r="B2" t="str">
        <f>TEXT(A2,"mmm-yy")</f>
        <v>Jan-00</v>
      </c>
    </row>
    <row r="3" spans="1:6" x14ac:dyDescent="0.2">
      <c r="B3" t="str">
        <f t="shared" ref="B3:B6" si="0">TEXT(A3,"mmm-yy")</f>
        <v>Jan-00</v>
      </c>
    </row>
    <row r="4" spans="1:6" x14ac:dyDescent="0.2">
      <c r="B4" t="str">
        <f t="shared" si="0"/>
        <v>Jan-00</v>
      </c>
    </row>
    <row r="5" spans="1:6" x14ac:dyDescent="0.2">
      <c r="B5" t="str">
        <f t="shared" si="0"/>
        <v>Jan-00</v>
      </c>
    </row>
    <row r="6" spans="1:6" x14ac:dyDescent="0.2">
      <c r="B6" t="str">
        <f t="shared" si="0"/>
        <v>Jan-00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"/>
  <sheetViews>
    <sheetView workbookViewId="0"/>
  </sheetViews>
  <sheetFormatPr defaultRowHeight="12.75" x14ac:dyDescent="0.2"/>
  <sheetData>
    <row r="1" spans="1:6" x14ac:dyDescent="0.2">
      <c r="A1" s="36" t="s">
        <v>51</v>
      </c>
      <c r="B1" s="36" t="s">
        <v>38</v>
      </c>
      <c r="C1" s="36" t="s">
        <v>5</v>
      </c>
      <c r="D1" s="36" t="s">
        <v>45</v>
      </c>
      <c r="E1" s="36" t="s">
        <v>52</v>
      </c>
      <c r="F1" s="36" t="s">
        <v>53</v>
      </c>
    </row>
    <row r="2" spans="1:6" x14ac:dyDescent="0.2">
      <c r="B2" t="str">
        <f>TEXT(A2,"mmm-yy")</f>
        <v>Jan-00</v>
      </c>
    </row>
    <row r="3" spans="1:6" x14ac:dyDescent="0.2">
      <c r="B3" t="str">
        <f t="shared" ref="B3:B6" si="0">TEXT(A3,"mmm-yy")</f>
        <v>Jan-00</v>
      </c>
    </row>
    <row r="4" spans="1:6" x14ac:dyDescent="0.2">
      <c r="B4" t="str">
        <f t="shared" si="0"/>
        <v>Jan-00</v>
      </c>
    </row>
    <row r="5" spans="1:6" x14ac:dyDescent="0.2">
      <c r="B5" t="str">
        <f t="shared" si="0"/>
        <v>Jan-00</v>
      </c>
    </row>
    <row r="6" spans="1:6" x14ac:dyDescent="0.2">
      <c r="B6" t="str">
        <f t="shared" si="0"/>
        <v>Jan-00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EF3277-6884-4B7C-9859-0D8F1D05BC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Pay Slip</vt:lpstr>
      <vt:lpstr>Data</vt:lpstr>
      <vt:lpstr>Mailer</vt:lpstr>
      <vt:lpstr>Reimbursement</vt:lpstr>
      <vt:lpstr>Other Deductions</vt:lpstr>
      <vt:lpstr>'Pay Slip'!Print_Area</vt:lpstr>
    </vt:vector>
  </TitlesOfParts>
  <Company>Uniparts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cp:lastPrinted>2016-09-10T18:50:34Z</cp:lastPrinted>
  <dcterms:created xsi:type="dcterms:W3CDTF">2007-06-26T06:37:00Z</dcterms:created>
  <dcterms:modified xsi:type="dcterms:W3CDTF">2018-09-08T18:54:01Z</dcterms:modified>
</cp:coreProperties>
</file>