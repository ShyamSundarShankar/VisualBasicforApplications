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rganizations\Allset Business Solutions\Human Resources\Letters\"/>
    </mc:Choice>
  </mc:AlternateContent>
  <xr:revisionPtr revIDLastSave="0" documentId="13_ncr:1_{53075F86-E38E-442B-9DF2-77DF2F7EC42F}" xr6:coauthVersionLast="36" xr6:coauthVersionMax="36" xr10:uidLastSave="{00000000-0000-0000-0000-000000000000}"/>
  <bookViews>
    <workbookView xWindow="0" yWindow="0" windowWidth="20490" windowHeight="8130" xr2:uid="{72227789-9BC2-42F8-ACEC-168326BF03AB}"/>
  </bookViews>
  <sheets>
    <sheet name="Index" sheetId="1" r:id="rId1"/>
    <sheet name="Compensation" sheetId="2" r:id="rId2"/>
    <sheet name="Appointment Data" sheetId="4" r:id="rId3"/>
  </sheets>
  <definedNames>
    <definedName name="_xlnm.Print_Area" localSheetId="1">Compensation!$B$2:$F$26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2" i="2" l="1"/>
  <c r="E22" i="2" s="1"/>
  <c r="D5" i="2" l="1"/>
  <c r="D7" i="2"/>
  <c r="E7" i="2" s="1"/>
  <c r="D9" i="2"/>
  <c r="E9" i="2" s="1"/>
  <c r="D6" i="2"/>
  <c r="E6" i="2" s="1"/>
  <c r="D8" i="2"/>
  <c r="E8" i="2" s="1"/>
  <c r="D10" i="2"/>
  <c r="E10" i="2" s="1"/>
  <c r="E5" i="2" l="1"/>
  <c r="E11" i="2" s="1"/>
  <c r="D20" i="2"/>
  <c r="D13" i="2"/>
  <c r="D11" i="2"/>
  <c r="D21" i="2" l="1"/>
  <c r="E21" i="2" s="1"/>
  <c r="D14" i="2"/>
  <c r="E14" i="2" s="1"/>
  <c r="E20" i="2"/>
  <c r="E23" i="2" l="1"/>
  <c r="E25" i="2" s="1"/>
  <c r="E13" i="2"/>
  <c r="E16" i="2" s="1"/>
  <c r="D23" i="2"/>
  <c r="D25" i="2" s="1"/>
</calcChain>
</file>

<file path=xl/sharedStrings.xml><?xml version="1.0" encoding="utf-8"?>
<sst xmlns="http://schemas.openxmlformats.org/spreadsheetml/2006/main" count="28" uniqueCount="26">
  <si>
    <t>Basic</t>
  </si>
  <si>
    <t>House Rent Allowance</t>
  </si>
  <si>
    <t>Medical Allowance</t>
  </si>
  <si>
    <t>Special Allowance</t>
  </si>
  <si>
    <t>Provident Fund</t>
  </si>
  <si>
    <t>ESI</t>
  </si>
  <si>
    <t>Professional Tax</t>
  </si>
  <si>
    <t>Gross Salary</t>
  </si>
  <si>
    <t>Total Deductions</t>
  </si>
  <si>
    <t>Particulars</t>
  </si>
  <si>
    <t>Net Salary</t>
  </si>
  <si>
    <t>Total Cost To Company (CTC)</t>
  </si>
  <si>
    <t>Employee ID</t>
  </si>
  <si>
    <t>Employee Name</t>
  </si>
  <si>
    <t>Designation</t>
  </si>
  <si>
    <t>Location</t>
  </si>
  <si>
    <t>Monthly (Rs.)</t>
  </si>
  <si>
    <t>Deductions</t>
  </si>
  <si>
    <t>Date of Joining</t>
  </si>
  <si>
    <t>Sr No.</t>
  </si>
  <si>
    <t>Appointment Date</t>
  </si>
  <si>
    <t>Statutory Bonus</t>
  </si>
  <si>
    <t>State Welfare</t>
  </si>
  <si>
    <t>Annually (Rs.)</t>
  </si>
  <si>
    <t>CTC</t>
  </si>
  <si>
    <t>--Select Appointment Letter Template--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</si>
</sst>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43" fontId="0" fillId="0" borderId="4" xfId="1" applyFont="1" applyBorder="1" applyAlignment="1">
      <alignment vertical="center"/>
    </xf>
    <xf numFmtId="0" fontId="0" fillId="0" borderId="5" xfId="0" applyBorder="1" applyAlignment="1">
      <alignment vertical="center"/>
    </xf>
    <xf numFmtId="43" fontId="0" fillId="0" borderId="6" xfId="1" applyFont="1" applyBorder="1" applyAlignment="1">
      <alignment vertical="center"/>
    </xf>
    <xf numFmtId="43" fontId="0" fillId="0" borderId="7" xfId="1" applyFont="1" applyBorder="1" applyAlignment="1">
      <alignment vertical="center"/>
    </xf>
    <xf numFmtId="0" fontId="0" fillId="0" borderId="8" xfId="0" applyBorder="1" applyAlignment="1">
      <alignment vertical="center"/>
    </xf>
    <xf numFmtId="43" fontId="0" fillId="0" borderId="9" xfId="1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43" fontId="2" fillId="0" borderId="11" xfId="1" applyFont="1" applyBorder="1" applyAlignment="1">
      <alignment vertical="center"/>
    </xf>
    <xf numFmtId="43" fontId="2" fillId="0" borderId="12" xfId="1" applyFont="1" applyBorder="1" applyAlignment="1">
      <alignment vertical="center"/>
    </xf>
    <xf numFmtId="0" fontId="0" fillId="0" borderId="16" xfId="0" applyBorder="1" applyAlignment="1">
      <alignment vertical="center"/>
    </xf>
    <xf numFmtId="43" fontId="0" fillId="0" borderId="17" xfId="1" applyFont="1" applyBorder="1" applyAlignment="1">
      <alignment vertical="center"/>
    </xf>
    <xf numFmtId="43" fontId="0" fillId="0" borderId="18" xfId="1" applyFont="1" applyBorder="1" applyAlignment="1">
      <alignment vertical="center"/>
    </xf>
    <xf numFmtId="0" fontId="0" fillId="0" borderId="10" xfId="0" applyBorder="1" applyAlignment="1">
      <alignment vertical="center"/>
    </xf>
    <xf numFmtId="43" fontId="0" fillId="0" borderId="11" xfId="1" applyFont="1" applyBorder="1" applyAlignment="1">
      <alignment vertical="center"/>
    </xf>
    <xf numFmtId="43" fontId="0" fillId="0" borderId="12" xfId="1" applyFont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vertical="center"/>
    </xf>
    <xf numFmtId="43" fontId="2" fillId="2" borderId="14" xfId="1" applyFont="1" applyFill="1" applyBorder="1" applyAlignment="1">
      <alignment vertical="center"/>
    </xf>
    <xf numFmtId="43" fontId="2" fillId="2" borderId="15" xfId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Protection="1">
      <protection locked="0"/>
    </xf>
    <xf numFmtId="14" fontId="0" fillId="0" borderId="0" xfId="0" applyNumberFormat="1"/>
    <xf numFmtId="43" fontId="2" fillId="2" borderId="14" xfId="0" applyNumberFormat="1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Protection="1">
      <protection locked="0"/>
    </xf>
  </cellXfs>
  <cellStyles count="2">
    <cellStyle name="Comma" xfId="1" builtinId="3"/>
    <cellStyle name="Normal" xfId="0" builtinId="0"/>
  </cellStyles>
  <dxfs count="3">
    <dxf>
      <numFmt numFmtId="19" formatCode="mm/dd/yyyy"/>
    </dxf>
    <dxf>
      <numFmt numFmtId="19" formatCode="mm/d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4</xdr:row>
      <xdr:rowOff>57150</xdr:rowOff>
    </xdr:from>
    <xdr:to>
      <xdr:col>15</xdr:col>
      <xdr:colOff>276225</xdr:colOff>
      <xdr:row>10</xdr:row>
      <xdr:rowOff>114299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76650" y="819150"/>
          <a:ext cx="5743575" cy="1200149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133350</xdr:rowOff>
        </xdr:from>
        <xdr:to>
          <xdr:col>13</xdr:col>
          <xdr:colOff>114300</xdr:colOff>
          <xdr:row>8</xdr:row>
          <xdr:rowOff>47625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6</xdr:row>
          <xdr:rowOff>133350</xdr:rowOff>
        </xdr:from>
        <xdr:to>
          <xdr:col>15</xdr:col>
          <xdr:colOff>171450</xdr:colOff>
          <xdr:row>8</xdr:row>
          <xdr:rowOff>47625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276225</xdr:colOff>
      <xdr:row>4</xdr:row>
      <xdr:rowOff>133351</xdr:rowOff>
    </xdr:from>
    <xdr:to>
      <xdr:col>15</xdr:col>
      <xdr:colOff>200024</xdr:colOff>
      <xdr:row>6</xdr:row>
      <xdr:rowOff>38101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372225" y="895351"/>
          <a:ext cx="2971799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600" b="1">
              <a:solidFill>
                <a:schemeClr val="bg1"/>
              </a:solidFill>
            </a:rPr>
            <a:t>Appointment Letter</a:t>
          </a:r>
        </a:p>
      </xdr:txBody>
    </xdr:sp>
    <xdr:clientData/>
  </xdr:twoCellAnchor>
  <xdr:twoCellAnchor>
    <xdr:from>
      <xdr:col>6</xdr:col>
      <xdr:colOff>95249</xdr:colOff>
      <xdr:row>4</xdr:row>
      <xdr:rowOff>57150</xdr:rowOff>
    </xdr:from>
    <xdr:to>
      <xdr:col>6</xdr:col>
      <xdr:colOff>523874</xdr:colOff>
      <xdr:row>6</xdr:row>
      <xdr:rowOff>47625</xdr:rowOff>
    </xdr:to>
    <xdr:sp macro="" textlink="">
      <xdr:nvSpPr>
        <xdr:cNvPr id="6" name="Pentagon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3781424" y="790575"/>
          <a:ext cx="371475" cy="428625"/>
        </a:xfrm>
        <a:prstGeom prst="homePlate">
          <a:avLst>
            <a:gd name="adj" fmla="val 32222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200025</xdr:colOff>
      <xdr:row>4</xdr:row>
      <xdr:rowOff>66675</xdr:rowOff>
    </xdr:from>
    <xdr:to>
      <xdr:col>6</xdr:col>
      <xdr:colOff>409575</xdr:colOff>
      <xdr:row>5</xdr:row>
      <xdr:rowOff>114300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857625" y="828675"/>
          <a:ext cx="209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6</xdr:col>
      <xdr:colOff>19050</xdr:colOff>
      <xdr:row>1</xdr:row>
      <xdr:rowOff>85725</xdr:rowOff>
    </xdr:from>
    <xdr:to>
      <xdr:col>15</xdr:col>
      <xdr:colOff>266700</xdr:colOff>
      <xdr:row>4</xdr:row>
      <xdr:rowOff>9525</xdr:rowOff>
    </xdr:to>
    <xdr:sp macro="" textlink="">
      <xdr:nvSpPr>
        <xdr:cNvPr id="8" name="Round Same Side Corner Rectangle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676650" y="276225"/>
          <a:ext cx="5734050" cy="49530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7</xdr:col>
      <xdr:colOff>0</xdr:colOff>
      <xdr:row>1</xdr:row>
      <xdr:rowOff>133718</xdr:rowOff>
    </xdr:from>
    <xdr:ext cx="4543425" cy="389787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267200" y="324218"/>
          <a:ext cx="4543425" cy="389787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en-US" sz="1900" b="1" cap="none" spc="0">
              <a:ln w="9525">
                <a:noFill/>
                <a:prstDash val="solid"/>
              </a:ln>
              <a:solidFill>
                <a:schemeClr val="bg1"/>
              </a:solidFill>
              <a:effectLst/>
            </a:rPr>
            <a:t>Human Resources Management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8</xdr:row>
          <xdr:rowOff>123825</xdr:rowOff>
        </xdr:from>
        <xdr:to>
          <xdr:col>15</xdr:col>
          <xdr:colOff>161925</xdr:colOff>
          <xdr:row>10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104776</xdr:colOff>
      <xdr:row>1</xdr:row>
      <xdr:rowOff>95251</xdr:rowOff>
    </xdr:from>
    <xdr:to>
      <xdr:col>6</xdr:col>
      <xdr:colOff>523876</xdr:colOff>
      <xdr:row>3</xdr:row>
      <xdr:rowOff>189231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6" y="285751"/>
          <a:ext cx="419100" cy="47498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F68570-2DA8-4878-9238-AF9EED22A3DB}" name="tblInput" displayName="tblInput" ref="A1:H3" totalsRowShown="0" headerRowDxfId="2">
  <autoFilter ref="A1:H3" xr:uid="{421E3B47-E9DC-4EFC-AA48-5C74C06811AB}"/>
  <tableColumns count="8">
    <tableColumn id="1" xr3:uid="{4ADD43C4-24E0-4D76-9580-F9C543C02873}" name="Sr No."/>
    <tableColumn id="2" xr3:uid="{208ABA1B-11E5-4DD7-B1C9-4F8BF956EC7A}" name="Employee ID"/>
    <tableColumn id="3" xr3:uid="{D9CCE77F-395B-4F96-8728-B03246973CED}" name="Employee Name"/>
    <tableColumn id="4" xr3:uid="{20C23C6C-93B4-4772-B5E8-A51D9091D5DD}" name="Appointment Date" dataDxfId="1"/>
    <tableColumn id="5" xr3:uid="{8462A07D-0667-4290-A74B-181F3C95AEA5}" name="Designation"/>
    <tableColumn id="6" xr3:uid="{D9B2EF0C-C1C6-43BA-8A8B-E2A8A2EFB0A3}" name="Location"/>
    <tableColumn id="7" xr3:uid="{8218D519-347C-4D07-BF9C-2888AB83BC37}" name="Date of Joining" dataDxfId="0"/>
    <tableColumn id="8" xr3:uid="{756CCF08-B9DD-41EA-9F80-2E1FC5FA6A4B}" name="CT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D837F-15D7-4583-B51A-65F2666C5BB4}">
  <sheetPr codeName="Sheet1"/>
  <dimension ref="G6:G7"/>
  <sheetViews>
    <sheetView showGridLines="0" showRowColHeaders="0" tabSelected="1" workbookViewId="0">
      <selection activeCell="G7" sqref="G7"/>
    </sheetView>
  </sheetViews>
  <sheetFormatPr defaultRowHeight="15" x14ac:dyDescent="0.25"/>
  <sheetData>
    <row r="6" spans="7:7" x14ac:dyDescent="0.25">
      <c r="G6" s="26" t="s">
        <v>25</v>
      </c>
    </row>
    <row r="7" spans="7:7" x14ac:dyDescent="0.25">
      <c r="G7" s="32"/>
    </row>
  </sheetData>
  <sheetProtection algorithmName="SHA-512" hashValue="cbO1nC2insEb4p0De5KteXmEo92JJ0ZEFxoGS2NMGwnU98oJ/+LgG6ZSp0F4QmBCsP/L6FPzx5r8GPjy8joOtg==" saltValue="JgFRBRTIML+I7TUpBGB63Q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13</xdr:col>
                <xdr:colOff>171450</xdr:colOff>
                <xdr:row>6</xdr:row>
                <xdr:rowOff>133350</xdr:rowOff>
              </from>
              <to>
                <xdr:col>15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TextBox1">
          <controlPr defaultSize="0" autoLine="0" linkedCell="G6" r:id="rId7">
            <anchor moveWithCells="1">
              <from>
                <xdr:col>6</xdr:col>
                <xdr:colOff>95250</xdr:colOff>
                <xdr:row>6</xdr:row>
                <xdr:rowOff>133350</xdr:rowOff>
              </from>
              <to>
                <xdr:col>13</xdr:col>
                <xdr:colOff>114300</xdr:colOff>
                <xdr:row>8</xdr:row>
                <xdr:rowOff>47625</xdr:rowOff>
              </to>
            </anchor>
          </controlPr>
        </control>
      </mc:Choice>
      <mc:Fallback>
        <control shapeId="1025" r:id="rId6" name="TextBox1"/>
      </mc:Fallback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AppointmentLetter">
            <anchor moveWithCells="1" sizeWithCells="1">
              <from>
                <xdr:col>13</xdr:col>
                <xdr:colOff>171450</xdr:colOff>
                <xdr:row>8</xdr:row>
                <xdr:rowOff>123825</xdr:rowOff>
              </from>
              <to>
                <xdr:col>15</xdr:col>
                <xdr:colOff>161925</xdr:colOff>
                <xdr:row>10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53C40-490B-43A4-8FAE-40E2420C4200}">
  <sheetPr codeName="Sheet2"/>
  <dimension ref="C1:G32"/>
  <sheetViews>
    <sheetView view="pageBreakPreview" zoomScaleNormal="100" zoomScaleSheetLayoutView="100" workbookViewId="0"/>
  </sheetViews>
  <sheetFormatPr defaultRowHeight="15" x14ac:dyDescent="0.25"/>
  <cols>
    <col min="1" max="1" width="0.85546875" style="1" customWidth="1"/>
    <col min="2" max="2" width="1.7109375" style="1" customWidth="1"/>
    <col min="3" max="3" width="26.7109375" style="1" bestFit="1" customWidth="1"/>
    <col min="4" max="5" width="15.7109375" style="1" customWidth="1"/>
    <col min="6" max="6" width="1.7109375" style="1" customWidth="1"/>
    <col min="7" max="16384" width="9.140625" style="1"/>
  </cols>
  <sheetData>
    <row r="1" spans="3:5" ht="5.0999999999999996" customHeight="1" x14ac:dyDescent="0.25"/>
    <row r="2" spans="3:5" ht="9.9499999999999993" customHeight="1" thickBot="1" x14ac:dyDescent="0.3"/>
    <row r="3" spans="3:5" ht="15.75" thickBot="1" x14ac:dyDescent="0.3">
      <c r="C3" s="19" t="s">
        <v>9</v>
      </c>
      <c r="D3" s="20" t="s">
        <v>16</v>
      </c>
      <c r="E3" s="21" t="s">
        <v>23</v>
      </c>
    </row>
    <row r="4" spans="3:5" ht="5.0999999999999996" customHeight="1" thickBot="1" x14ac:dyDescent="0.3"/>
    <row r="5" spans="3:5" x14ac:dyDescent="0.25">
      <c r="C5" s="5" t="s">
        <v>0</v>
      </c>
      <c r="D5" s="6">
        <f>IF(D16&gt;=22000,D16-(D16*2.34%),D16-(D16*6.57%))*20/100</f>
        <v>0</v>
      </c>
      <c r="E5" s="7">
        <f>D5*12</f>
        <v>0</v>
      </c>
    </row>
    <row r="6" spans="3:5" x14ac:dyDescent="0.25">
      <c r="C6" s="8" t="s">
        <v>21</v>
      </c>
      <c r="D6" s="4">
        <f>IF(D16&gt;=22000,D16-(D16*2.34%),D16-(D16*6.57%))*8.33%</f>
        <v>0</v>
      </c>
      <c r="E6" s="9">
        <f t="shared" ref="E6:E10" si="0">D6*12</f>
        <v>0</v>
      </c>
    </row>
    <row r="7" spans="3:5" x14ac:dyDescent="0.25">
      <c r="C7" s="8" t="s">
        <v>2</v>
      </c>
      <c r="D7" s="4">
        <f>IF(D16&gt;=22000,D16-(D16*2.34%),D16-(D16*6.57%))*10/100</f>
        <v>0</v>
      </c>
      <c r="E7" s="9">
        <f t="shared" si="0"/>
        <v>0</v>
      </c>
    </row>
    <row r="8" spans="3:5" x14ac:dyDescent="0.25">
      <c r="C8" s="8" t="s">
        <v>1</v>
      </c>
      <c r="D8" s="4">
        <f>IF(D16&gt;=22000,D16-(D16*2.34%),D16-(D16*6.57%))*50/100</f>
        <v>0</v>
      </c>
      <c r="E8" s="9">
        <f t="shared" si="0"/>
        <v>0</v>
      </c>
    </row>
    <row r="9" spans="3:5" x14ac:dyDescent="0.25">
      <c r="C9" s="8" t="s">
        <v>3</v>
      </c>
      <c r="D9" s="4">
        <f>IF(D16&gt;=22000,D16-(D16*2.34%),D16-(D16*6.57%))*8/100</f>
        <v>0</v>
      </c>
      <c r="E9" s="9">
        <f t="shared" si="0"/>
        <v>0</v>
      </c>
    </row>
    <row r="10" spans="3:5" ht="15.75" thickBot="1" x14ac:dyDescent="0.3">
      <c r="C10" s="13" t="s">
        <v>22</v>
      </c>
      <c r="D10" s="14">
        <f>IF(D16&gt;=22000,D16-(D16*2.34%),D16-(D16*6.57%))*3.67/100</f>
        <v>0</v>
      </c>
      <c r="E10" s="15">
        <f t="shared" si="0"/>
        <v>0</v>
      </c>
    </row>
    <row r="11" spans="3:5" ht="15.75" thickBot="1" x14ac:dyDescent="0.3">
      <c r="C11" s="22" t="s">
        <v>7</v>
      </c>
      <c r="D11" s="23">
        <f>SUM(D5:D10)</f>
        <v>0</v>
      </c>
      <c r="E11" s="24">
        <f>SUM(E5:E10)</f>
        <v>0</v>
      </c>
    </row>
    <row r="12" spans="3:5" ht="5.0999999999999996" customHeight="1" thickBot="1" x14ac:dyDescent="0.3"/>
    <row r="13" spans="3:5" x14ac:dyDescent="0.25">
      <c r="C13" s="5" t="s">
        <v>4</v>
      </c>
      <c r="D13" s="6">
        <f>D5*12/100</f>
        <v>0</v>
      </c>
      <c r="E13" s="7">
        <f>E20</f>
        <v>0</v>
      </c>
    </row>
    <row r="14" spans="3:5" ht="15.75" thickBot="1" x14ac:dyDescent="0.3">
      <c r="C14" s="16" t="s">
        <v>5</v>
      </c>
      <c r="D14" s="17">
        <f>IF(D16&gt;=22000,0,(D11-D13)*4.75/100)</f>
        <v>0</v>
      </c>
      <c r="E14" s="18">
        <f>D14*12</f>
        <v>0</v>
      </c>
    </row>
    <row r="15" spans="3:5" ht="5.0999999999999996" customHeight="1" thickBot="1" x14ac:dyDescent="0.3">
      <c r="E15" s="2"/>
    </row>
    <row r="16" spans="3:5" ht="15.75" thickBot="1" x14ac:dyDescent="0.3">
      <c r="C16" s="22" t="s">
        <v>11</v>
      </c>
      <c r="D16" s="28">
        <v>0</v>
      </c>
      <c r="E16" s="24">
        <f>E11+SUM(E13:E14)</f>
        <v>0</v>
      </c>
    </row>
    <row r="17" spans="3:7" ht="5.0999999999999996" customHeight="1" thickBot="1" x14ac:dyDescent="0.3">
      <c r="D17" s="2"/>
      <c r="E17" s="2"/>
    </row>
    <row r="18" spans="3:7" ht="15.75" thickBot="1" x14ac:dyDescent="0.3">
      <c r="C18" s="29" t="s">
        <v>17</v>
      </c>
      <c r="D18" s="30"/>
      <c r="E18" s="31"/>
    </row>
    <row r="19" spans="3:7" ht="5.0999999999999996" customHeight="1" thickBot="1" x14ac:dyDescent="0.3">
      <c r="D19" s="2"/>
      <c r="E19" s="2"/>
    </row>
    <row r="20" spans="3:7" x14ac:dyDescent="0.25">
      <c r="C20" s="5" t="s">
        <v>4</v>
      </c>
      <c r="D20" s="6">
        <f>D5*12/100</f>
        <v>0</v>
      </c>
      <c r="E20" s="7">
        <f>D20*12</f>
        <v>0</v>
      </c>
    </row>
    <row r="21" spans="3:7" x14ac:dyDescent="0.25">
      <c r="C21" s="8" t="s">
        <v>5</v>
      </c>
      <c r="D21" s="4">
        <f>IF(D16&gt;=22000,0,(D11-D13)*1.75/100)</f>
        <v>0</v>
      </c>
      <c r="E21" s="9">
        <f>D21*12</f>
        <v>0</v>
      </c>
    </row>
    <row r="22" spans="3:7" x14ac:dyDescent="0.25">
      <c r="C22" s="8" t="s">
        <v>6</v>
      </c>
      <c r="D22" s="4">
        <f>IF(D16=0,0,IF(D16&gt;=13500,208,IF(D16&gt;=10500,171,IF(D16&gt;=8500,115,53))))</f>
        <v>0</v>
      </c>
      <c r="E22" s="9">
        <f>D22*12</f>
        <v>0</v>
      </c>
    </row>
    <row r="23" spans="3:7" ht="15.75" thickBot="1" x14ac:dyDescent="0.3">
      <c r="C23" s="10" t="s">
        <v>8</v>
      </c>
      <c r="D23" s="11">
        <f>SUM(D20:D22)</f>
        <v>0</v>
      </c>
      <c r="E23" s="12">
        <f>SUM(E20:E22)</f>
        <v>0</v>
      </c>
    </row>
    <row r="24" spans="3:7" ht="5.0999999999999996" customHeight="1" thickBot="1" x14ac:dyDescent="0.3"/>
    <row r="25" spans="3:7" ht="15.75" thickBot="1" x14ac:dyDescent="0.3">
      <c r="C25" s="22" t="s">
        <v>10</v>
      </c>
      <c r="D25" s="23">
        <f>D11-D23</f>
        <v>0</v>
      </c>
      <c r="E25" s="24">
        <f>E11-E23</f>
        <v>0</v>
      </c>
    </row>
    <row r="26" spans="3:7" ht="9.9499999999999993" customHeight="1" x14ac:dyDescent="0.25"/>
    <row r="29" spans="3:7" x14ac:dyDescent="0.25">
      <c r="D29" s="3"/>
    </row>
    <row r="30" spans="3:7" ht="15" customHeight="1" x14ac:dyDescent="0.25">
      <c r="C30" s="3"/>
      <c r="D30" s="3"/>
      <c r="E30" s="3"/>
      <c r="F30" s="3"/>
      <c r="G30" s="3"/>
    </row>
    <row r="31" spans="3:7" x14ac:dyDescent="0.25">
      <c r="C31" s="3"/>
      <c r="D31" s="3"/>
      <c r="E31" s="3"/>
      <c r="F31" s="3"/>
      <c r="G31" s="3"/>
    </row>
    <row r="32" spans="3:7" x14ac:dyDescent="0.25">
      <c r="C32" s="3"/>
      <c r="E32" s="3"/>
      <c r="F32" s="3"/>
      <c r="G32" s="3"/>
    </row>
  </sheetData>
  <mergeCells count="1">
    <mergeCell ref="C18:E18"/>
  </mergeCells>
  <pageMargins left="0.7" right="0.7" top="0.75" bottom="0.75" header="0.3" footer="0.3"/>
  <pageSetup scale="7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5E46-E6D0-4284-99F4-09A57498FE1F}">
  <sheetPr codeName="Sheet3"/>
  <dimension ref="A1:H3"/>
  <sheetViews>
    <sheetView workbookViewId="0"/>
  </sheetViews>
  <sheetFormatPr defaultRowHeight="15" x14ac:dyDescent="0.25"/>
  <cols>
    <col min="1" max="2" width="15.7109375" customWidth="1"/>
    <col min="3" max="3" width="17.7109375" customWidth="1"/>
    <col min="4" max="4" width="19.5703125" customWidth="1"/>
    <col min="5" max="6" width="15.7109375" customWidth="1"/>
    <col min="7" max="7" width="16.28515625" customWidth="1"/>
    <col min="8" max="8" width="15.7109375" customWidth="1"/>
  </cols>
  <sheetData>
    <row r="1" spans="1:8" x14ac:dyDescent="0.25">
      <c r="A1" s="25" t="s">
        <v>19</v>
      </c>
      <c r="B1" s="25" t="s">
        <v>12</v>
      </c>
      <c r="C1" s="25" t="s">
        <v>13</v>
      </c>
      <c r="D1" s="25" t="s">
        <v>20</v>
      </c>
      <c r="E1" s="25" t="s">
        <v>14</v>
      </c>
      <c r="F1" s="25" t="s">
        <v>15</v>
      </c>
      <c r="G1" s="25" t="s">
        <v>18</v>
      </c>
      <c r="H1" s="25" t="s">
        <v>24</v>
      </c>
    </row>
    <row r="2" spans="1:8" x14ac:dyDescent="0.25">
      <c r="D2" s="27"/>
      <c r="G2" s="27"/>
    </row>
    <row r="3" spans="1:8" x14ac:dyDescent="0.25">
      <c r="D3" s="27"/>
      <c r="G3" s="2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Index</vt:lpstr>
      <vt:lpstr>Compensation</vt:lpstr>
      <vt:lpstr>Appointment Data</vt:lpstr>
      <vt:lpstr>Compensation!Print_Area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cp:lastPrinted>2019-06-04T04:16:55Z</cp:lastPrinted>
  <dcterms:created xsi:type="dcterms:W3CDTF">2019-05-28T18:38:45Z</dcterms:created>
  <dcterms:modified xsi:type="dcterms:W3CDTF">2019-06-05T06:59:03Z</dcterms:modified>
</cp:coreProperties>
</file>