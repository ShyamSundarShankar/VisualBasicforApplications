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E:\Resources\Repositories\Excel-VBA\Workbooks\"/>
    </mc:Choice>
  </mc:AlternateContent>
  <xr:revisionPtr revIDLastSave="0" documentId="10_ncr:100000_{E660ADEB-A987-48FE-8696-F0DDA4EDAF92}" xr6:coauthVersionLast="31" xr6:coauthVersionMax="31" xr10:uidLastSave="{00000000-0000-0000-0000-000000000000}"/>
  <bookViews>
    <workbookView xWindow="0" yWindow="0" windowWidth="20490" windowHeight="7755" activeTab="1" xr2:uid="{00000000-000D-0000-FFFF-FFFF00000000}"/>
  </bookViews>
  <sheets>
    <sheet name="Setup" sheetId="1" r:id="rId1"/>
    <sheet name="FrontEnd" sheetId="2" r:id="rId2"/>
    <sheet name="BackEnd" sheetId="3" r:id="rId3"/>
  </sheets>
  <definedNames>
    <definedName name="_xlnm._FilterDatabase" localSheetId="0" hidden="1">Setup!$A$1:$C$17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3" l="1"/>
  <c r="A3" i="3" s="1"/>
  <c r="B3" i="3" s="1"/>
  <c r="B27" i="2"/>
  <c r="L27" i="2"/>
  <c r="K27" i="2"/>
  <c r="J27" i="2"/>
  <c r="I27" i="2"/>
  <c r="H27" i="2"/>
  <c r="G27" i="2"/>
  <c r="F27" i="2"/>
  <c r="E27" i="2"/>
  <c r="D27" i="2"/>
  <c r="C27" i="2"/>
  <c r="B2" i="3" l="1"/>
  <c r="A4" i="3"/>
  <c r="B4" i="3" s="1"/>
  <c r="B28" i="2"/>
</calcChain>
</file>

<file path=xl/sharedStrings.xml><?xml version="1.0" encoding="utf-8"?>
<sst xmlns="http://schemas.openxmlformats.org/spreadsheetml/2006/main" count="89" uniqueCount="58">
  <si>
    <t>Issue</t>
  </si>
  <si>
    <t>Category</t>
  </si>
  <si>
    <t>Sub Category</t>
  </si>
  <si>
    <t>CRM</t>
  </si>
  <si>
    <t>VPN</t>
  </si>
  <si>
    <t>Headset</t>
  </si>
  <si>
    <t>Keyboard</t>
  </si>
  <si>
    <t>Mouse</t>
  </si>
  <si>
    <t>Internet</t>
  </si>
  <si>
    <t>Projector</t>
  </si>
  <si>
    <t>Request</t>
  </si>
  <si>
    <t>Wi-Fi</t>
  </si>
  <si>
    <t>MS - O365</t>
  </si>
  <si>
    <t>MS - Outlook</t>
  </si>
  <si>
    <t>MS - Excel</t>
  </si>
  <si>
    <t>VSV</t>
  </si>
  <si>
    <t>Server</t>
  </si>
  <si>
    <t>Shares</t>
  </si>
  <si>
    <t>Laptop</t>
  </si>
  <si>
    <t>System</t>
  </si>
  <si>
    <t>Engineers</t>
  </si>
  <si>
    <t>Ganesh Prasad</t>
  </si>
  <si>
    <t>Prem</t>
  </si>
  <si>
    <t>Madhan</t>
  </si>
  <si>
    <t>Syam</t>
  </si>
  <si>
    <t>Process</t>
  </si>
  <si>
    <t>Airtel</t>
  </si>
  <si>
    <t>Airtel - WR</t>
  </si>
  <si>
    <t>Vodafone - SME</t>
  </si>
  <si>
    <t>Vodafone - RTN</t>
  </si>
  <si>
    <t>Vodafone - South</t>
  </si>
  <si>
    <t>Vodafone - North</t>
  </si>
  <si>
    <t>Credit Mantri</t>
  </si>
  <si>
    <t>ICICI</t>
  </si>
  <si>
    <t>Location</t>
  </si>
  <si>
    <t>Teynampet</t>
  </si>
  <si>
    <t>Choolaimedu</t>
  </si>
  <si>
    <t>Cabin No</t>
  </si>
  <si>
    <t>User Name</t>
  </si>
  <si>
    <t>Call Time</t>
  </si>
  <si>
    <t>Assigned Time</t>
  </si>
  <si>
    <t>Remarks</t>
  </si>
  <si>
    <t>Engineer</t>
  </si>
  <si>
    <t>SubCategory</t>
  </si>
  <si>
    <t>Closed Time</t>
  </si>
  <si>
    <t>Status</t>
  </si>
  <si>
    <t>Cabin No2</t>
  </si>
  <si>
    <t>Ticket ID</t>
  </si>
  <si>
    <t>A01</t>
  </si>
  <si>
    <t>Date</t>
  </si>
  <si>
    <t>1</t>
  </si>
  <si>
    <t>Kumar</t>
  </si>
  <si>
    <t>Test</t>
  </si>
  <si>
    <t>D02</t>
  </si>
  <si>
    <t>Nandha</t>
  </si>
  <si>
    <t>Closed</t>
  </si>
  <si>
    <t>V02</t>
  </si>
  <si>
    <t>EBRAHIM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</si>
</sst>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1" xfId="0" applyNumberFormat="1" applyFont="1" applyBorder="1"/>
    <xf numFmtId="0" fontId="0" fillId="0" borderId="0" xfId="0" applyNumberFormat="1"/>
    <xf numFmtId="0" fontId="1" fillId="0" borderId="1" xfId="0" applyNumberFormat="1" applyFont="1" applyBorder="1" applyAlignment="1">
      <alignment vertical="center"/>
    </xf>
    <xf numFmtId="20" fontId="0" fillId="0" borderId="0" xfId="0" applyNumberFormat="1"/>
    <xf numFmtId="0" fontId="0" fillId="0" borderId="0" xfId="0" applyAlignment="1">
      <alignment horizontal="center" vertical="center"/>
    </xf>
    <xf numFmtId="0" fontId="0" fillId="0" borderId="1" xfId="0" applyNumberFormat="1" applyBorder="1" applyProtection="1">
      <protection locked="0"/>
    </xf>
    <xf numFmtId="20" fontId="0" fillId="0" borderId="1" xfId="0" applyNumberFormat="1" applyBorder="1" applyProtection="1">
      <protection locked="0"/>
    </xf>
    <xf numFmtId="0" fontId="0" fillId="0" borderId="1" xfId="0" applyNumberFormat="1" applyBorder="1" applyAlignment="1" applyProtection="1">
      <alignment wrapText="1"/>
      <protection locked="0"/>
    </xf>
    <xf numFmtId="14" fontId="2" fillId="0" borderId="0" xfId="0" applyNumberFormat="1" applyFont="1" applyProtection="1">
      <protection locked="0"/>
    </xf>
    <xf numFmtId="0" fontId="2" fillId="0" borderId="0" xfId="0" applyFont="1" applyProtection="1">
      <protection locked="0"/>
    </xf>
  </cellXfs>
  <cellStyles count="1">
    <cellStyle name="Normal" xfId="0" builtinId="0"/>
  </cellStyles>
  <dxfs count="6">
    <dxf>
      <numFmt numFmtId="0" formatCode="General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466725</xdr:colOff>
          <xdr:row>23</xdr:row>
          <xdr:rowOff>133350</xdr:rowOff>
        </xdr:from>
        <xdr:to>
          <xdr:col>2</xdr:col>
          <xdr:colOff>571500</xdr:colOff>
          <xdr:row>25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20</xdr:col>
      <xdr:colOff>209549</xdr:colOff>
      <xdr:row>2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57150" y="57150"/>
          <a:ext cx="12668249" cy="37147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0" baseline="0"/>
            <a:t>Technology Helpdesk Manager</a:t>
          </a:r>
          <a:endParaRPr lang="en-IN" sz="2400" b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tegory" displayName="Category" ref="A1:A3" totalsRowShown="0" headerRowDxfId="5">
  <autoFilter ref="A1:A3" xr:uid="{00000000-0009-0000-0100-000001000000}"/>
  <tableColumns count="1">
    <tableColumn id="1" xr3:uid="{00000000-0010-0000-0000-000001000000}" name="Categor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ngineer" displayName="Engineer" ref="E1:E5" totalsRowShown="0" headerRowDxfId="4">
  <tableColumns count="1">
    <tableColumn id="1" xr3:uid="{00000000-0010-0000-0100-000001000000}" name="Engine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rocess" displayName="Process" ref="G1:G9" totalsRowShown="0" headerRowDxfId="3">
  <tableColumns count="1">
    <tableColumn id="1" xr3:uid="{00000000-0010-0000-0200-000001000000}" name="Proces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Location" displayName="Location" ref="I1:I3" totalsRowShown="0">
  <tableColumns count="1">
    <tableColumn id="1" xr3:uid="{00000000-0010-0000-0300-000001000000}" name="Loca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SubCategory" displayName="SubCategory" ref="C1:C17" totalsRowShown="0" headerRowDxfId="2">
  <autoFilter ref="C1:C17" xr:uid="{00000000-0009-0000-0100-000005000000}"/>
  <tableColumns count="1">
    <tableColumn id="1" xr3:uid="{00000000-0010-0000-0400-000001000000}" name="Sub Categor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6" displayName="Table6" ref="A1:O4" totalsRowShown="0" headerRowDxfId="1">
  <autoFilter ref="A1:O4" xr:uid="{00000000-0009-0000-0100-000006000000}"/>
  <tableColumns count="15">
    <tableColumn id="15" xr3:uid="{00000000-0010-0000-0500-00000F000000}" name="1" dataDxfId="0">
      <calculatedColumnFormula>A1+1</calculatedColumnFormula>
    </tableColumn>
    <tableColumn id="1" xr3:uid="{00000000-0010-0000-0500-000001000000}" name="Ticket ID">
      <calculatedColumnFormula>Table6[1]&amp;"-"&amp;TEXT(Table6[Date],"YYYYMMDD")&amp;"-"&amp;TEXT(Table6[Call Time],"HHMM")</calculatedColumnFormula>
    </tableColumn>
    <tableColumn id="14" xr3:uid="{00000000-0010-0000-0500-00000E000000}" name="Date"/>
    <tableColumn id="13" xr3:uid="{00000000-0010-0000-0500-00000D000000}" name="Cabin No2"/>
    <tableColumn id="2" xr3:uid="{00000000-0010-0000-0500-000002000000}" name="User Name"/>
    <tableColumn id="3" xr3:uid="{00000000-0010-0000-0500-000003000000}" name="Process"/>
    <tableColumn id="4" xr3:uid="{00000000-0010-0000-0500-000004000000}" name="Location"/>
    <tableColumn id="5" xr3:uid="{00000000-0010-0000-0500-000005000000}" name="Category"/>
    <tableColumn id="6" xr3:uid="{00000000-0010-0000-0500-000006000000}" name="SubCategory"/>
    <tableColumn id="7" xr3:uid="{00000000-0010-0000-0500-000007000000}" name="Call Time"/>
    <tableColumn id="8" xr3:uid="{00000000-0010-0000-0500-000008000000}" name="Engineer"/>
    <tableColumn id="9" xr3:uid="{00000000-0010-0000-0500-000009000000}" name="Assigned Time"/>
    <tableColumn id="10" xr3:uid="{00000000-0010-0000-0500-00000A000000}" name="Remarks"/>
    <tableColumn id="11" xr3:uid="{00000000-0010-0000-0500-00000B000000}" name="Closed Time"/>
    <tableColumn id="12" xr3:uid="{00000000-0010-0000-0500-00000C000000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7"/>
  <sheetViews>
    <sheetView showGridLines="0" workbookViewId="0"/>
  </sheetViews>
  <sheetFormatPr defaultRowHeight="15" x14ac:dyDescent="0.25"/>
  <cols>
    <col min="1" max="1" width="15.7109375" customWidth="1"/>
    <col min="2" max="2" width="0.85546875" customWidth="1"/>
    <col min="3" max="3" width="15.7109375" customWidth="1"/>
    <col min="4" max="4" width="0.85546875" customWidth="1"/>
    <col min="5" max="5" width="15.7109375" customWidth="1"/>
    <col min="6" max="6" width="0.85546875" customWidth="1"/>
    <col min="7" max="7" width="15.7109375" customWidth="1"/>
    <col min="8" max="8" width="0.85546875" customWidth="1"/>
    <col min="9" max="9" width="15.7109375" customWidth="1"/>
  </cols>
  <sheetData>
    <row r="1" spans="1:9" x14ac:dyDescent="0.25">
      <c r="A1" s="1" t="s">
        <v>1</v>
      </c>
      <c r="B1" s="1"/>
      <c r="C1" s="1" t="s">
        <v>2</v>
      </c>
      <c r="E1" s="1" t="s">
        <v>20</v>
      </c>
      <c r="G1" s="1" t="s">
        <v>25</v>
      </c>
      <c r="I1" t="s">
        <v>34</v>
      </c>
    </row>
    <row r="2" spans="1:9" x14ac:dyDescent="0.25">
      <c r="A2" t="s">
        <v>0</v>
      </c>
      <c r="C2" t="s">
        <v>3</v>
      </c>
      <c r="E2" t="s">
        <v>21</v>
      </c>
      <c r="G2" t="s">
        <v>26</v>
      </c>
      <c r="I2" t="s">
        <v>35</v>
      </c>
    </row>
    <row r="3" spans="1:9" x14ac:dyDescent="0.25">
      <c r="A3" t="s">
        <v>10</v>
      </c>
      <c r="C3" t="s">
        <v>4</v>
      </c>
      <c r="E3" t="s">
        <v>22</v>
      </c>
      <c r="G3" t="s">
        <v>27</v>
      </c>
      <c r="I3" t="s">
        <v>36</v>
      </c>
    </row>
    <row r="4" spans="1:9" x14ac:dyDescent="0.25">
      <c r="C4" t="s">
        <v>15</v>
      </c>
      <c r="E4" t="s">
        <v>23</v>
      </c>
      <c r="G4" t="s">
        <v>28</v>
      </c>
    </row>
    <row r="5" spans="1:9" x14ac:dyDescent="0.25">
      <c r="C5" t="s">
        <v>11</v>
      </c>
      <c r="E5" t="s">
        <v>24</v>
      </c>
      <c r="G5" t="s">
        <v>29</v>
      </c>
    </row>
    <row r="6" spans="1:9" x14ac:dyDescent="0.25">
      <c r="C6" t="s">
        <v>5</v>
      </c>
      <c r="G6" t="s">
        <v>30</v>
      </c>
    </row>
    <row r="7" spans="1:9" x14ac:dyDescent="0.25">
      <c r="C7" t="s">
        <v>6</v>
      </c>
      <c r="G7" t="s">
        <v>31</v>
      </c>
    </row>
    <row r="8" spans="1:9" x14ac:dyDescent="0.25">
      <c r="C8" t="s">
        <v>7</v>
      </c>
      <c r="G8" t="s">
        <v>32</v>
      </c>
    </row>
    <row r="9" spans="1:9" x14ac:dyDescent="0.25">
      <c r="C9" t="s">
        <v>9</v>
      </c>
      <c r="G9" t="s">
        <v>33</v>
      </c>
    </row>
    <row r="10" spans="1:9" x14ac:dyDescent="0.25">
      <c r="C10" t="s">
        <v>8</v>
      </c>
    </row>
    <row r="11" spans="1:9" x14ac:dyDescent="0.25">
      <c r="C11" t="s">
        <v>12</v>
      </c>
    </row>
    <row r="12" spans="1:9" x14ac:dyDescent="0.25">
      <c r="C12" t="s">
        <v>13</v>
      </c>
    </row>
    <row r="13" spans="1:9" x14ac:dyDescent="0.25">
      <c r="C13" t="s">
        <v>14</v>
      </c>
    </row>
    <row r="14" spans="1:9" x14ac:dyDescent="0.25">
      <c r="C14" t="s">
        <v>16</v>
      </c>
    </row>
    <row r="15" spans="1:9" x14ac:dyDescent="0.25">
      <c r="C15" t="s">
        <v>17</v>
      </c>
    </row>
    <row r="16" spans="1:9" x14ac:dyDescent="0.25">
      <c r="C16" t="s">
        <v>18</v>
      </c>
    </row>
    <row r="17" spans="3:3" x14ac:dyDescent="0.25">
      <c r="C17" t="s">
        <v>19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L28"/>
  <sheetViews>
    <sheetView showGridLines="0" showRowColHeaders="0" tabSelected="1" workbookViewId="0">
      <selection activeCell="C5" sqref="C5"/>
    </sheetView>
  </sheetViews>
  <sheetFormatPr defaultRowHeight="15" x14ac:dyDescent="0.25"/>
  <cols>
    <col min="1" max="1" width="0.85546875" customWidth="1"/>
    <col min="2" max="3" width="15.7109375" customWidth="1"/>
  </cols>
  <sheetData>
    <row r="1" spans="2:3" ht="5.0999999999999996" customHeight="1" x14ac:dyDescent="0.25"/>
    <row r="4" spans="2:3" ht="5.0999999999999996" customHeight="1" x14ac:dyDescent="0.25"/>
    <row r="5" spans="2:3" x14ac:dyDescent="0.25">
      <c r="B5" s="2" t="s">
        <v>37</v>
      </c>
      <c r="C5" s="7"/>
    </row>
    <row r="6" spans="2:3" ht="5.0999999999999996" customHeight="1" x14ac:dyDescent="0.25">
      <c r="B6" s="1"/>
    </row>
    <row r="7" spans="2:3" x14ac:dyDescent="0.25">
      <c r="B7" s="2" t="s">
        <v>38</v>
      </c>
      <c r="C7" s="7"/>
    </row>
    <row r="8" spans="2:3" ht="5.0999999999999996" customHeight="1" x14ac:dyDescent="0.25">
      <c r="B8" s="1"/>
    </row>
    <row r="9" spans="2:3" x14ac:dyDescent="0.25">
      <c r="B9" s="2" t="s">
        <v>25</v>
      </c>
      <c r="C9" s="7"/>
    </row>
    <row r="10" spans="2:3" ht="5.0999999999999996" customHeight="1" x14ac:dyDescent="0.25">
      <c r="B10" s="1"/>
    </row>
    <row r="11" spans="2:3" x14ac:dyDescent="0.25">
      <c r="B11" s="2" t="s">
        <v>34</v>
      </c>
      <c r="C11" s="7"/>
    </row>
    <row r="12" spans="2:3" ht="5.0999999999999996" customHeight="1" x14ac:dyDescent="0.25">
      <c r="B12" s="1"/>
    </row>
    <row r="13" spans="2:3" x14ac:dyDescent="0.25">
      <c r="B13" s="2" t="s">
        <v>1</v>
      </c>
      <c r="C13" s="7"/>
    </row>
    <row r="14" spans="2:3" ht="5.0999999999999996" customHeight="1" x14ac:dyDescent="0.25">
      <c r="B14" s="1"/>
    </row>
    <row r="15" spans="2:3" x14ac:dyDescent="0.25">
      <c r="B15" s="2" t="s">
        <v>43</v>
      </c>
      <c r="C15" s="7"/>
    </row>
    <row r="16" spans="2:3" ht="5.0999999999999996" customHeight="1" x14ac:dyDescent="0.25">
      <c r="B16" s="1"/>
    </row>
    <row r="17" spans="2:12" x14ac:dyDescent="0.25">
      <c r="B17" s="2" t="s">
        <v>39</v>
      </c>
      <c r="C17" s="8"/>
    </row>
    <row r="18" spans="2:12" ht="5.0999999999999996" customHeight="1" x14ac:dyDescent="0.25">
      <c r="B18" s="1"/>
    </row>
    <row r="19" spans="2:12" x14ac:dyDescent="0.25">
      <c r="B19" s="2" t="s">
        <v>42</v>
      </c>
      <c r="C19" s="7"/>
    </row>
    <row r="20" spans="2:12" ht="5.0999999999999996" customHeight="1" x14ac:dyDescent="0.25">
      <c r="B20" s="1"/>
    </row>
    <row r="21" spans="2:12" x14ac:dyDescent="0.25">
      <c r="B21" s="2" t="s">
        <v>40</v>
      </c>
      <c r="C21" s="8"/>
    </row>
    <row r="22" spans="2:12" ht="5.0999999999999996" customHeight="1" x14ac:dyDescent="0.25">
      <c r="B22" s="1"/>
    </row>
    <row r="23" spans="2:12" ht="64.5" customHeight="1" x14ac:dyDescent="0.25">
      <c r="B23" s="4" t="s">
        <v>41</v>
      </c>
      <c r="C23" s="9"/>
    </row>
    <row r="27" spans="2:12" x14ac:dyDescent="0.25">
      <c r="B27" s="10">
        <f ca="1">TODAY()</f>
        <v>43408</v>
      </c>
      <c r="C27" s="11">
        <f>C5</f>
        <v>0</v>
      </c>
      <c r="D27" s="11">
        <f>C7</f>
        <v>0</v>
      </c>
      <c r="E27" s="11">
        <f>C9</f>
        <v>0</v>
      </c>
      <c r="F27" s="11">
        <f>C11</f>
        <v>0</v>
      </c>
      <c r="G27" s="11">
        <f>C13</f>
        <v>0</v>
      </c>
      <c r="H27" s="11">
        <f>C15</f>
        <v>0</v>
      </c>
      <c r="I27" s="11">
        <f>C17</f>
        <v>0</v>
      </c>
      <c r="J27" s="11">
        <f>C19</f>
        <v>0</v>
      </c>
      <c r="K27" s="11">
        <f>C21</f>
        <v>0</v>
      </c>
      <c r="L27" s="11">
        <f>C23</f>
        <v>0</v>
      </c>
    </row>
    <row r="28" spans="2:12" x14ac:dyDescent="0.25">
      <c r="B28" s="11">
        <f>MIN(C27:L27)</f>
        <v>0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</row>
  </sheetData>
  <sheetProtection selectLockedCells="1"/>
  <dataValidations count="4">
    <dataValidation type="list" allowBlank="1" showInputMessage="1" showErrorMessage="1" sqref="C19" xr:uid="{00000000-0002-0000-0100-000000000000}">
      <formula1>INDIRECT($B$19)</formula1>
    </dataValidation>
    <dataValidation type="list" allowBlank="1" showInputMessage="1" showErrorMessage="1" sqref="C9" xr:uid="{00000000-0002-0000-0100-000001000000}">
      <formula1>INDIRECT($B$9)</formula1>
    </dataValidation>
    <dataValidation type="list" allowBlank="1" showInputMessage="1" showErrorMessage="1" sqref="C11" xr:uid="{00000000-0002-0000-0100-000002000000}">
      <formula1>INDIRECT($B$11)</formula1>
    </dataValidation>
    <dataValidation type="list" allowBlank="1" showInputMessage="1" showErrorMessage="1" sqref="C13 C15" xr:uid="{00000000-0002-0000-0100-000003000000}">
      <formula1>INDIRECT(B13)</formula1>
    </dataValidation>
  </dataValidations>
  <pageMargins left="0.7" right="0.7" top="0.75" bottom="0.75" header="0.3" footer="0.3"/>
  <ignoredErrors>
    <ignoredError sqref="A1:XFD1048576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SubmitData">
                <anchor moveWithCells="1" sizeWithCells="1">
                  <from>
                    <xdr:col>1</xdr:col>
                    <xdr:colOff>466725</xdr:colOff>
                    <xdr:row>23</xdr:row>
                    <xdr:rowOff>133350</xdr:rowOff>
                  </from>
                  <to>
                    <xdr:col>2</xdr:col>
                    <xdr:colOff>571500</xdr:colOff>
                    <xdr:row>25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4"/>
  <sheetViews>
    <sheetView showGridLines="0" workbookViewId="0"/>
  </sheetViews>
  <sheetFormatPr defaultRowHeight="15" x14ac:dyDescent="0.25"/>
  <cols>
    <col min="1" max="15" width="10.7109375" customWidth="1"/>
  </cols>
  <sheetData>
    <row r="1" spans="1:15" x14ac:dyDescent="0.25">
      <c r="A1" s="6" t="s">
        <v>50</v>
      </c>
      <c r="B1" s="6" t="s">
        <v>47</v>
      </c>
      <c r="C1" s="6" t="s">
        <v>49</v>
      </c>
      <c r="D1" s="6" t="s">
        <v>46</v>
      </c>
      <c r="E1" s="6" t="s">
        <v>38</v>
      </c>
      <c r="F1" s="6" t="s">
        <v>25</v>
      </c>
      <c r="G1" s="6" t="s">
        <v>34</v>
      </c>
      <c r="H1" s="6" t="s">
        <v>1</v>
      </c>
      <c r="I1" s="6" t="s">
        <v>43</v>
      </c>
      <c r="J1" s="6" t="s">
        <v>39</v>
      </c>
      <c r="K1" s="6" t="s">
        <v>42</v>
      </c>
      <c r="L1" s="6" t="s">
        <v>40</v>
      </c>
      <c r="M1" s="6" t="s">
        <v>41</v>
      </c>
      <c r="N1" s="6" t="s">
        <v>44</v>
      </c>
      <c r="O1" s="6" t="s">
        <v>45</v>
      </c>
    </row>
    <row r="2" spans="1:15" x14ac:dyDescent="0.25">
      <c r="A2">
        <f t="shared" ref="A2:A3" si="0">A1+1</f>
        <v>2</v>
      </c>
      <c r="B2" t="str">
        <f>Table6[1]&amp;"-"&amp;TEXT(Table6[Date],"YYYYMMDD")&amp;"-"&amp;TEXT(Table6[Call Time],"HHMM")</f>
        <v>2-20180415-2253</v>
      </c>
      <c r="C2">
        <v>43205</v>
      </c>
      <c r="D2" t="s">
        <v>48</v>
      </c>
      <c r="E2" t="s">
        <v>51</v>
      </c>
      <c r="F2" t="s">
        <v>28</v>
      </c>
      <c r="G2" t="s">
        <v>36</v>
      </c>
      <c r="H2" t="s">
        <v>0</v>
      </c>
      <c r="I2" t="s">
        <v>5</v>
      </c>
      <c r="J2">
        <v>0.95347222222222217</v>
      </c>
      <c r="K2" t="s">
        <v>23</v>
      </c>
      <c r="L2">
        <v>0.95347222222222217</v>
      </c>
      <c r="M2" t="s">
        <v>52</v>
      </c>
      <c r="O2" t="s">
        <v>55</v>
      </c>
    </row>
    <row r="3" spans="1:15" x14ac:dyDescent="0.25">
      <c r="A3">
        <f t="shared" si="0"/>
        <v>3</v>
      </c>
      <c r="B3" t="str">
        <f>Table6[1]&amp;"-"&amp;TEXT(Table6[Date],"YYYYMMDD")&amp;"-"&amp;TEXT(Table6[Call Time],"HHMM")</f>
        <v>3-20180415-2254</v>
      </c>
      <c r="C3">
        <v>43205</v>
      </c>
      <c r="D3" t="s">
        <v>53</v>
      </c>
      <c r="E3" t="s">
        <v>54</v>
      </c>
      <c r="F3" t="s">
        <v>30</v>
      </c>
      <c r="G3" t="s">
        <v>35</v>
      </c>
      <c r="H3" t="s">
        <v>10</v>
      </c>
      <c r="I3" t="s">
        <v>6</v>
      </c>
      <c r="J3">
        <v>0.95416666666666661</v>
      </c>
      <c r="K3" t="s">
        <v>22</v>
      </c>
      <c r="L3">
        <v>0.95416666666666661</v>
      </c>
      <c r="M3" t="s">
        <v>52</v>
      </c>
      <c r="O3" t="s">
        <v>55</v>
      </c>
    </row>
    <row r="4" spans="1:15" x14ac:dyDescent="0.25">
      <c r="A4" s="3">
        <f>A3+1</f>
        <v>4</v>
      </c>
      <c r="B4" t="str">
        <f>Table6[1]&amp;"-"&amp;TEXT(Table6[Date],"YYYYMMDD")&amp;"-"&amp;TEXT(Table6[Call Time],"HHMM")</f>
        <v>4-20180415-2301</v>
      </c>
      <c r="C4">
        <v>43205</v>
      </c>
      <c r="D4" t="s">
        <v>56</v>
      </c>
      <c r="E4" t="s">
        <v>57</v>
      </c>
      <c r="F4" t="s">
        <v>33</v>
      </c>
      <c r="G4" t="s">
        <v>36</v>
      </c>
      <c r="H4" t="s">
        <v>0</v>
      </c>
      <c r="I4" t="s">
        <v>3</v>
      </c>
      <c r="J4" s="5">
        <v>0.9590277777777777</v>
      </c>
      <c r="K4" t="s">
        <v>21</v>
      </c>
      <c r="L4">
        <v>0.9590277777777777</v>
      </c>
      <c r="M4" t="s">
        <v>52</v>
      </c>
      <c r="O4" t="s">
        <v>55</v>
      </c>
    </row>
  </sheetData>
  <dataValidations count="1">
    <dataValidation type="list" allowBlank="1" showInputMessage="1" showErrorMessage="1" sqref="O2:O4" xr:uid="{00000000-0002-0000-0200-000000000000}">
      <formula1>"Open,Closed"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B5DC8D-19E4-45C9-81CF-71C7FDD9D78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Setup</vt:lpstr>
      <vt:lpstr>FrontEnd</vt:lpstr>
      <vt:lpstr>BackEnd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Shyam Sundar Shankar</dc:creator>
  <cp:lastModifiedBy>Shyam Sundar Shankar</cp:lastModifiedBy>
  <dcterms:created xsi:type="dcterms:W3CDTF">2018-04-15T15:44:36Z</dcterms:created>
  <dcterms:modified xsi:type="dcterms:W3CDTF">2018-11-03T23:51:30Z</dcterms:modified>
</cp:coreProperties>
</file>