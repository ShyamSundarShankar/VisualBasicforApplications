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\Desktop\Projects\PyCharm\"/>
    </mc:Choice>
  </mc:AlternateContent>
  <bookViews>
    <workbookView xWindow="0" yWindow="0" windowWidth="20496" windowHeight="8136" firstSheet="3" activeTab="3"/>
  </bookViews>
  <sheets>
    <sheet name="CitySetup" sheetId="5" state="hidden" r:id="rId1"/>
    <sheet name="DistrictSetup" sheetId="4" state="hidden" r:id="rId2"/>
    <sheet name="GeneralSetup" sheetId="3" state="hidden" r:id="rId3"/>
    <sheet name="Entry" sheetId="1" r:id="rId4"/>
    <sheet name="History " sheetId="2" state="hidden" r:id="rId5"/>
    <sheet name="HistoryCache" sheetId="6" state="hidden" r:id="rId6"/>
    <sheet name="LogCache" sheetId="8" state="hidden" r:id="rId7"/>
    <sheet name="WorkQueue" sheetId="7" state="hidden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2" l="1"/>
  <c r="A2" i="2" s="1"/>
  <c r="A3" i="2" s="1"/>
  <c r="A4" i="2" s="1"/>
  <c r="A5" i="2" s="1"/>
  <c r="A6" i="2" s="1"/>
  <c r="A7" i="2" s="1"/>
  <c r="A8" i="2" s="1"/>
  <c r="A9" i="2" s="1"/>
  <c r="A10" i="2" s="1"/>
  <c r="C19" i="1" l="1"/>
  <c r="G28" i="1"/>
  <c r="G29" i="1"/>
  <c r="G26" i="1"/>
</calcChain>
</file>

<file path=xl/sharedStrings.xml><?xml version="1.0" encoding="utf-8"?>
<sst xmlns="http://schemas.openxmlformats.org/spreadsheetml/2006/main" count="2239" uniqueCount="1789">
  <si>
    <t>First Name</t>
  </si>
  <si>
    <t>Last/Sur Name</t>
  </si>
  <si>
    <t>Address Line 1</t>
  </si>
  <si>
    <t>Address Line 2</t>
  </si>
  <si>
    <t>Area</t>
  </si>
  <si>
    <t xml:space="preserve">District </t>
  </si>
  <si>
    <t xml:space="preserve">State </t>
  </si>
  <si>
    <t>Zone</t>
  </si>
  <si>
    <t>Landmark</t>
  </si>
  <si>
    <t>PIN Code</t>
  </si>
  <si>
    <t>Primary Mobile</t>
  </si>
  <si>
    <t>Secondary Mobile</t>
  </si>
  <si>
    <t>Tertiary Number</t>
  </si>
  <si>
    <t>Profile Type</t>
  </si>
  <si>
    <t>Client ID</t>
  </si>
  <si>
    <t>Registration Date</t>
  </si>
  <si>
    <t>Cash Back #</t>
  </si>
  <si>
    <t>Lucky Draw #</t>
  </si>
  <si>
    <t>T-Shirt Size</t>
  </si>
  <si>
    <t>TME Name</t>
  </si>
  <si>
    <t>Coupon Status</t>
  </si>
  <si>
    <t>Delivery Status</t>
  </si>
  <si>
    <t>No. Of Packets</t>
  </si>
  <si>
    <t>Delivery Date</t>
  </si>
  <si>
    <t>Delivery Time</t>
  </si>
  <si>
    <t>Disposition</t>
  </si>
  <si>
    <t>Comments</t>
  </si>
  <si>
    <t>Worked By</t>
  </si>
  <si>
    <t>Worked Date &amp; Time</t>
  </si>
  <si>
    <t>E-Mail ID</t>
  </si>
  <si>
    <t>TShirtSize</t>
  </si>
  <si>
    <t>ProfileType</t>
  </si>
  <si>
    <t>TMEName</t>
  </si>
  <si>
    <t>Total Work Order</t>
  </si>
  <si>
    <t>Pending</t>
  </si>
  <si>
    <t>Completed</t>
  </si>
  <si>
    <t>Service</t>
  </si>
  <si>
    <t>Other</t>
  </si>
  <si>
    <t>Farmer</t>
  </si>
  <si>
    <t>House Wife</t>
  </si>
  <si>
    <t>Business</t>
  </si>
  <si>
    <t>Retired</t>
  </si>
  <si>
    <t>Minor</t>
  </si>
  <si>
    <t>A</t>
  </si>
  <si>
    <t>B</t>
  </si>
  <si>
    <t>C</t>
  </si>
  <si>
    <t>D</t>
  </si>
  <si>
    <t>E</t>
  </si>
  <si>
    <t>XXXS</t>
  </si>
  <si>
    <t>XXS</t>
  </si>
  <si>
    <t>XS</t>
  </si>
  <si>
    <t>S</t>
  </si>
  <si>
    <t>M</t>
  </si>
  <si>
    <t>L</t>
  </si>
  <si>
    <t>XL</t>
  </si>
  <si>
    <t>XXL</t>
  </si>
  <si>
    <t>XXXL</t>
  </si>
  <si>
    <t>Assam</t>
  </si>
  <si>
    <t>Bihar</t>
  </si>
  <si>
    <t>Chandigarh</t>
  </si>
  <si>
    <t>Chhattisgarh</t>
  </si>
  <si>
    <t>Delhi</t>
  </si>
  <si>
    <t>Goa</t>
  </si>
  <si>
    <t>Gujarat</t>
  </si>
  <si>
    <t>Haryana</t>
  </si>
  <si>
    <t>Jharkhand</t>
  </si>
  <si>
    <t>Karnataka</t>
  </si>
  <si>
    <t>Kerala</t>
  </si>
  <si>
    <t>Lakshadweep</t>
  </si>
  <si>
    <t>Maharashtra</t>
  </si>
  <si>
    <t>Manipur</t>
  </si>
  <si>
    <t>Meghalaya</t>
  </si>
  <si>
    <t>Mizoram</t>
  </si>
  <si>
    <t>Nagaland</t>
  </si>
  <si>
    <t>Pondicherry</t>
  </si>
  <si>
    <t>Punjab</t>
  </si>
  <si>
    <t>Rajasthan</t>
  </si>
  <si>
    <t>Sikkim</t>
  </si>
  <si>
    <t>Tripura</t>
  </si>
  <si>
    <t>Uttaranchal</t>
  </si>
  <si>
    <t>State</t>
  </si>
  <si>
    <t>City</t>
  </si>
  <si>
    <t>Andaman_Nicobar_Islands</t>
  </si>
  <si>
    <t>Andhra_Pradesh</t>
  </si>
  <si>
    <t>Arunachal_Pradesh</t>
  </si>
  <si>
    <t>Dadra_Nagar_Haveli</t>
  </si>
  <si>
    <t>Daman_Diu</t>
  </si>
  <si>
    <t>Himachal_Pradesh</t>
  </si>
  <si>
    <t>Jammu_Kashmir</t>
  </si>
  <si>
    <t>Madhya_Pradesh</t>
  </si>
  <si>
    <t>Odisha</t>
  </si>
  <si>
    <t>Tamil_Nadu</t>
  </si>
  <si>
    <t>Telangana</t>
  </si>
  <si>
    <t>Uttar_Pradesh</t>
  </si>
  <si>
    <t>Completed %</t>
  </si>
  <si>
    <t>Pending %</t>
  </si>
  <si>
    <t>West_Bengal</t>
  </si>
  <si>
    <t>Nicobar</t>
  </si>
  <si>
    <t>North and Middle Andaman</t>
  </si>
  <si>
    <t>South Andaman</t>
  </si>
  <si>
    <t>Anantapur</t>
  </si>
  <si>
    <t>Chittoor</t>
  </si>
  <si>
    <t>East Godavari</t>
  </si>
  <si>
    <t>Guntur</t>
  </si>
  <si>
    <t>Kadapa</t>
  </si>
  <si>
    <t>Krishna</t>
  </si>
  <si>
    <t>Kurnool</t>
  </si>
  <si>
    <t>Prakasam</t>
  </si>
  <si>
    <t>Sri Potti Sriramulu Nellore</t>
  </si>
  <si>
    <t>Srikakulam</t>
  </si>
  <si>
    <t>Visakhapatnam</t>
  </si>
  <si>
    <t>Vizianagaram</t>
  </si>
  <si>
    <t>West Godavari</t>
  </si>
  <si>
    <t>Anjaw</t>
  </si>
  <si>
    <t>Changlang</t>
  </si>
  <si>
    <t>East Kameng</t>
  </si>
  <si>
    <t>East Siang</t>
  </si>
  <si>
    <t>Kamle</t>
  </si>
  <si>
    <t>Kra Daadi</t>
  </si>
  <si>
    <t>Kurung Kumey</t>
  </si>
  <si>
    <t>Lepa-Rada</t>
  </si>
  <si>
    <t>Lohit</t>
  </si>
  <si>
    <t>Longding</t>
  </si>
  <si>
    <t>Lower Dibang Valley</t>
  </si>
  <si>
    <t>Lower Siang</t>
  </si>
  <si>
    <t>Lower Subansiri</t>
  </si>
  <si>
    <t>Namsai</t>
  </si>
  <si>
    <t>Pakke-Kessang</t>
  </si>
  <si>
    <t>Papum Pare</t>
  </si>
  <si>
    <t>Shi-Yomi</t>
  </si>
  <si>
    <t>Siang</t>
  </si>
  <si>
    <t>Tawang</t>
  </si>
  <si>
    <t>Tirap</t>
  </si>
  <si>
    <t>Upper Dibang Valley</t>
  </si>
  <si>
    <t>Upper Siang</t>
  </si>
  <si>
    <t>Upper Subansiri</t>
  </si>
  <si>
    <t>West Kameng</t>
  </si>
  <si>
    <t>West Siang</t>
  </si>
  <si>
    <t>Baksa</t>
  </si>
  <si>
    <t>Barpeta</t>
  </si>
  <si>
    <t>Bishwanath</t>
  </si>
  <si>
    <t>Bongaigaon</t>
  </si>
  <si>
    <t>Cachar</t>
  </si>
  <si>
    <t>Charaideo</t>
  </si>
  <si>
    <t>Chirang</t>
  </si>
  <si>
    <t>Darrang</t>
  </si>
  <si>
    <t>Dhemaji</t>
  </si>
  <si>
    <t>Dhubri</t>
  </si>
  <si>
    <t>Dibrugarh</t>
  </si>
  <si>
    <t>Dima Hasao</t>
  </si>
  <si>
    <t>Goalpara</t>
  </si>
  <si>
    <t>Golaghat</t>
  </si>
  <si>
    <t>Hailakandi</t>
  </si>
  <si>
    <t>Hojai</t>
  </si>
  <si>
    <t>Jorhat</t>
  </si>
  <si>
    <t>Kamrup</t>
  </si>
  <si>
    <t>Kamrup Metropolitan</t>
  </si>
  <si>
    <t>Karbi Anglong</t>
  </si>
  <si>
    <t>Karimganj</t>
  </si>
  <si>
    <t>Kokrajhar</t>
  </si>
  <si>
    <t>Lakhimpur</t>
  </si>
  <si>
    <t>Majuli</t>
  </si>
  <si>
    <t>Morigaon</t>
  </si>
  <si>
    <t>Nagaon</t>
  </si>
  <si>
    <t>Nalbari</t>
  </si>
  <si>
    <t>Sivasagar</t>
  </si>
  <si>
    <t>South Salmara-Mankachar</t>
  </si>
  <si>
    <t>Sonitpur</t>
  </si>
  <si>
    <t>Tinsukia</t>
  </si>
  <si>
    <t>Udalguri</t>
  </si>
  <si>
    <t>West Karbi Anglong</t>
  </si>
  <si>
    <t>Araria</t>
  </si>
  <si>
    <t>Arwal</t>
  </si>
  <si>
    <t>Aurangabad</t>
  </si>
  <si>
    <t>Banka</t>
  </si>
  <si>
    <t>Begusarai</t>
  </si>
  <si>
    <t>Bhagalpur</t>
  </si>
  <si>
    <t>Bhojpur</t>
  </si>
  <si>
    <t>Buxar</t>
  </si>
  <si>
    <t>Darbhanga</t>
  </si>
  <si>
    <t>East Champaran</t>
  </si>
  <si>
    <t>Gaya</t>
  </si>
  <si>
    <t>Gopalganj</t>
  </si>
  <si>
    <t>Jamui</t>
  </si>
  <si>
    <t>Jehanabad</t>
  </si>
  <si>
    <t>Kaimur</t>
  </si>
  <si>
    <t>Katihar</t>
  </si>
  <si>
    <t>Khagaria</t>
  </si>
  <si>
    <t>Kishanganj</t>
  </si>
  <si>
    <t>Lakhisarai</t>
  </si>
  <si>
    <t>Madhepura</t>
  </si>
  <si>
    <t>Madhubani</t>
  </si>
  <si>
    <t>Munger</t>
  </si>
  <si>
    <t>Muzaffarpur</t>
  </si>
  <si>
    <t>Nalanda</t>
  </si>
  <si>
    <t>Nawada</t>
  </si>
  <si>
    <t>Patna</t>
  </si>
  <si>
    <t>Purnia</t>
  </si>
  <si>
    <t>Rohtas</t>
  </si>
  <si>
    <t>Saharsa</t>
  </si>
  <si>
    <t>Samastipur</t>
  </si>
  <si>
    <t>Saran</t>
  </si>
  <si>
    <t>Sheikhpura</t>
  </si>
  <si>
    <t>Sheohar</t>
  </si>
  <si>
    <t>Sitamarhi</t>
  </si>
  <si>
    <t>Siwan</t>
  </si>
  <si>
    <t>Supaul</t>
  </si>
  <si>
    <t>Vaishali</t>
  </si>
  <si>
    <t>West Champaran</t>
  </si>
  <si>
    <t>Balod</t>
  </si>
  <si>
    <t>Baloda Bazar</t>
  </si>
  <si>
    <t>Balrampur</t>
  </si>
  <si>
    <t>Bastar</t>
  </si>
  <si>
    <t>Bemetara</t>
  </si>
  <si>
    <t>Bijapur</t>
  </si>
  <si>
    <t>Bilaspur</t>
  </si>
  <si>
    <t>Dantewada</t>
  </si>
  <si>
    <t>Dhamtari</t>
  </si>
  <si>
    <t>Durg</t>
  </si>
  <si>
    <t>Gariaband</t>
  </si>
  <si>
    <t>Janjgir-Champa</t>
  </si>
  <si>
    <t>Jashpur</t>
  </si>
  <si>
    <t>Kabirdham (Kawardha)</t>
  </si>
  <si>
    <t>Kanker</t>
  </si>
  <si>
    <t>Kondagaon</t>
  </si>
  <si>
    <t>Korba</t>
  </si>
  <si>
    <t>Korea</t>
  </si>
  <si>
    <t>Mahasamund</t>
  </si>
  <si>
    <t>Mungeli</t>
  </si>
  <si>
    <t>Narayanpur</t>
  </si>
  <si>
    <t>Raigarh</t>
  </si>
  <si>
    <t>Raipur</t>
  </si>
  <si>
    <t>Rajnandgaon</t>
  </si>
  <si>
    <t>Sukma</t>
  </si>
  <si>
    <t>Surajpur</t>
  </si>
  <si>
    <t>Surguja</t>
  </si>
  <si>
    <t>Dadra and Nagar Haveli</t>
  </si>
  <si>
    <t>Daman</t>
  </si>
  <si>
    <t>Diu</t>
  </si>
  <si>
    <t>Central Delhi</t>
  </si>
  <si>
    <t>East Delhi</t>
  </si>
  <si>
    <t>New Delhi</t>
  </si>
  <si>
    <t>North Delhi</t>
  </si>
  <si>
    <t>North East Delhi</t>
  </si>
  <si>
    <t>North West Delhi</t>
  </si>
  <si>
    <t>Shahdara</t>
  </si>
  <si>
    <t>South Delhi</t>
  </si>
  <si>
    <t>South East Delhi</t>
  </si>
  <si>
    <t>South West Delhi</t>
  </si>
  <si>
    <t>West Delhi</t>
  </si>
  <si>
    <t>North Goa</t>
  </si>
  <si>
    <t>South Goa</t>
  </si>
  <si>
    <t>Ahmedabad</t>
  </si>
  <si>
    <t>Amreli</t>
  </si>
  <si>
    <t>Anand</t>
  </si>
  <si>
    <t>Aravalli</t>
  </si>
  <si>
    <t>Banaskantha</t>
  </si>
  <si>
    <t>Bharuch</t>
  </si>
  <si>
    <t>Bhavnagar</t>
  </si>
  <si>
    <t>Botad</t>
  </si>
  <si>
    <t>Chhota Udepur</t>
  </si>
  <si>
    <t>Dahod</t>
  </si>
  <si>
    <t>Dang</t>
  </si>
  <si>
    <t>Devbhoomi Dwarka</t>
  </si>
  <si>
    <t>Gandhinagar</t>
  </si>
  <si>
    <t>Gir Somnath</t>
  </si>
  <si>
    <t>Jamnagar</t>
  </si>
  <si>
    <t>Junagadh</t>
  </si>
  <si>
    <t>Kheda</t>
  </si>
  <si>
    <t>Kutch</t>
  </si>
  <si>
    <t>Mahisagar</t>
  </si>
  <si>
    <t>Mehsana</t>
  </si>
  <si>
    <t>Morbi</t>
  </si>
  <si>
    <t>Narmada</t>
  </si>
  <si>
    <t>Navsari</t>
  </si>
  <si>
    <t>Panchmahal</t>
  </si>
  <si>
    <t>Patan</t>
  </si>
  <si>
    <t>Porbandar</t>
  </si>
  <si>
    <t>Rajkot</t>
  </si>
  <si>
    <t>Sabarkantha</t>
  </si>
  <si>
    <t>Surat</t>
  </si>
  <si>
    <t>Surendranagar</t>
  </si>
  <si>
    <t>Tapi</t>
  </si>
  <si>
    <t>Vadodara</t>
  </si>
  <si>
    <t>Valsad</t>
  </si>
  <si>
    <t>Ambala</t>
  </si>
  <si>
    <t>Bhiwani</t>
  </si>
  <si>
    <t>Charkhi Dadri</t>
  </si>
  <si>
    <t>Faridabad</t>
  </si>
  <si>
    <t>Fatehabad</t>
  </si>
  <si>
    <t>Gurugram</t>
  </si>
  <si>
    <t>Hissar</t>
  </si>
  <si>
    <t>Jhajjar</t>
  </si>
  <si>
    <t>Jind</t>
  </si>
  <si>
    <t>Kaithal</t>
  </si>
  <si>
    <t>Karnal</t>
  </si>
  <si>
    <t>Kurukshetra</t>
  </si>
  <si>
    <t>Mahendragarh</t>
  </si>
  <si>
    <t>Nuh</t>
  </si>
  <si>
    <t>Palwal</t>
  </si>
  <si>
    <t>Panchkula</t>
  </si>
  <si>
    <t>Panipat</t>
  </si>
  <si>
    <t>Rewari</t>
  </si>
  <si>
    <t>Rohtak</t>
  </si>
  <si>
    <t>Sirsa</t>
  </si>
  <si>
    <t>Sonipat</t>
  </si>
  <si>
    <t>Yamuna Nagar</t>
  </si>
  <si>
    <t>Chamba</t>
  </si>
  <si>
    <t>Hamirpur</t>
  </si>
  <si>
    <t>Kangra</t>
  </si>
  <si>
    <t>Kinnaur</t>
  </si>
  <si>
    <t>Kullu</t>
  </si>
  <si>
    <t>Lahaul and Spiti</t>
  </si>
  <si>
    <t>Mandi</t>
  </si>
  <si>
    <t>Shimla</t>
  </si>
  <si>
    <t>Sirmaur</t>
  </si>
  <si>
    <t>Solan</t>
  </si>
  <si>
    <t>Una</t>
  </si>
  <si>
    <t>Anantnag</t>
  </si>
  <si>
    <t>Bandipora</t>
  </si>
  <si>
    <t>Baramulla</t>
  </si>
  <si>
    <t>Badgam</t>
  </si>
  <si>
    <t>Doda</t>
  </si>
  <si>
    <t>Ganderbal</t>
  </si>
  <si>
    <t>Jammu</t>
  </si>
  <si>
    <t>Kargil</t>
  </si>
  <si>
    <t>Kathua</t>
  </si>
  <si>
    <t>Kishtwar</t>
  </si>
  <si>
    <t>Kulgam</t>
  </si>
  <si>
    <t>Kupwara</t>
  </si>
  <si>
    <t>Leh</t>
  </si>
  <si>
    <t>Poonch</t>
  </si>
  <si>
    <t>Pulwama</t>
  </si>
  <si>
    <t>Rajouri</t>
  </si>
  <si>
    <t>Ramban</t>
  </si>
  <si>
    <t>Reasi</t>
  </si>
  <si>
    <t>Samba</t>
  </si>
  <si>
    <t>Shopian</t>
  </si>
  <si>
    <t>Srinagar</t>
  </si>
  <si>
    <t>Udhampur</t>
  </si>
  <si>
    <t>Bokaro</t>
  </si>
  <si>
    <t>Chatra</t>
  </si>
  <si>
    <t>Deoghar</t>
  </si>
  <si>
    <t>Dhanbad</t>
  </si>
  <si>
    <t>Dumka</t>
  </si>
  <si>
    <t>East Singhbhum</t>
  </si>
  <si>
    <t>Garhwa</t>
  </si>
  <si>
    <t>Giridih</t>
  </si>
  <si>
    <t>Godda</t>
  </si>
  <si>
    <t>Gumla</t>
  </si>
  <si>
    <t>Hazaribag</t>
  </si>
  <si>
    <t>Jamtara</t>
  </si>
  <si>
    <t>Khunti</t>
  </si>
  <si>
    <t>Koderma</t>
  </si>
  <si>
    <t>Latehar</t>
  </si>
  <si>
    <t>Lohardaga</t>
  </si>
  <si>
    <t>Pakur</t>
  </si>
  <si>
    <t>Palamu</t>
  </si>
  <si>
    <t>Ramgarh</t>
  </si>
  <si>
    <t>Ranchi</t>
  </si>
  <si>
    <t>Sahibganj</t>
  </si>
  <si>
    <t>Seraikela Kharsawan</t>
  </si>
  <si>
    <t>Simdega</t>
  </si>
  <si>
    <t>West Singhbhum</t>
  </si>
  <si>
    <t>Bagalkot</t>
  </si>
  <si>
    <t>Ballari</t>
  </si>
  <si>
    <t>Belagavi</t>
  </si>
  <si>
    <t>Bengaluru Rural</t>
  </si>
  <si>
    <t>Bengaluru Urban</t>
  </si>
  <si>
    <t>Bidar</t>
  </si>
  <si>
    <t>Chamarajnagar</t>
  </si>
  <si>
    <t>Chikkaballapur</t>
  </si>
  <si>
    <t>Chikkamagaluru</t>
  </si>
  <si>
    <t>Chitradurga</t>
  </si>
  <si>
    <t>Dakshina Kannada</t>
  </si>
  <si>
    <t>Davanagere</t>
  </si>
  <si>
    <t>Dharwad</t>
  </si>
  <si>
    <t>Gadag</t>
  </si>
  <si>
    <t>Hassan</t>
  </si>
  <si>
    <t>Haveri</t>
  </si>
  <si>
    <t>Kalaburagi</t>
  </si>
  <si>
    <t>Kodagu</t>
  </si>
  <si>
    <t>Kolar</t>
  </si>
  <si>
    <t>Koppal</t>
  </si>
  <si>
    <t>Mandya</t>
  </si>
  <si>
    <t>Mysuru</t>
  </si>
  <si>
    <t>Raichur</t>
  </si>
  <si>
    <t>Ramanagara</t>
  </si>
  <si>
    <t>Shivamogga</t>
  </si>
  <si>
    <t>Tumakuru</t>
  </si>
  <si>
    <t>Udupi</t>
  </si>
  <si>
    <t>Uttara Kannada</t>
  </si>
  <si>
    <t>Vijayapura</t>
  </si>
  <si>
    <t>Yadgir</t>
  </si>
  <si>
    <t>Alappuzha</t>
  </si>
  <si>
    <t>Ernakulam</t>
  </si>
  <si>
    <t>Idukki</t>
  </si>
  <si>
    <t>Kannur</t>
  </si>
  <si>
    <t>Kasaragod</t>
  </si>
  <si>
    <t>Kollam</t>
  </si>
  <si>
    <t>Kottayam</t>
  </si>
  <si>
    <t>Kozhikode</t>
  </si>
  <si>
    <t>Malappuram</t>
  </si>
  <si>
    <t>Palakkad</t>
  </si>
  <si>
    <t>Pathanamthitta</t>
  </si>
  <si>
    <t>Thrissur</t>
  </si>
  <si>
    <t>Thiruvananthapuram</t>
  </si>
  <si>
    <t>Wayanad</t>
  </si>
  <si>
    <t>Agar Malwa</t>
  </si>
  <si>
    <t>Alirajpur</t>
  </si>
  <si>
    <t>Anuppur</t>
  </si>
  <si>
    <t>Ashok Nagar</t>
  </si>
  <si>
    <t>Balaghat</t>
  </si>
  <si>
    <t>Barwani</t>
  </si>
  <si>
    <t>Betul</t>
  </si>
  <si>
    <t>Bhind</t>
  </si>
  <si>
    <t>Bhopal</t>
  </si>
  <si>
    <t>Burhanpur</t>
  </si>
  <si>
    <t>Chhatarpur</t>
  </si>
  <si>
    <t>Chhindwara</t>
  </si>
  <si>
    <t>Damoh</t>
  </si>
  <si>
    <t>Datia</t>
  </si>
  <si>
    <t>Dewas</t>
  </si>
  <si>
    <t>Dhar</t>
  </si>
  <si>
    <t>Dindori</t>
  </si>
  <si>
    <t>Guna</t>
  </si>
  <si>
    <t>Gwalior</t>
  </si>
  <si>
    <t>Harda</t>
  </si>
  <si>
    <t>Hoshangabad</t>
  </si>
  <si>
    <t>Indore</t>
  </si>
  <si>
    <t>Jabalpur</t>
  </si>
  <si>
    <t>Jhabua</t>
  </si>
  <si>
    <t>Katni</t>
  </si>
  <si>
    <t>Khandwa (East Nimar)</t>
  </si>
  <si>
    <t>Khargone (West Nimar)</t>
  </si>
  <si>
    <t>Mandla</t>
  </si>
  <si>
    <t>Mandsaur</t>
  </si>
  <si>
    <t>Morena</t>
  </si>
  <si>
    <t>Narsinghpur</t>
  </si>
  <si>
    <t>Neemuch</t>
  </si>
  <si>
    <t>Niwari</t>
  </si>
  <si>
    <t>Panna</t>
  </si>
  <si>
    <t>Raisen</t>
  </si>
  <si>
    <t>Rajgarh</t>
  </si>
  <si>
    <t>Ratlam</t>
  </si>
  <si>
    <t>Rewa</t>
  </si>
  <si>
    <t>Sagar</t>
  </si>
  <si>
    <t>Satna</t>
  </si>
  <si>
    <t>Sehore</t>
  </si>
  <si>
    <t>Seoni</t>
  </si>
  <si>
    <t>Shahdol</t>
  </si>
  <si>
    <t>Shajapur</t>
  </si>
  <si>
    <t>Sheopur</t>
  </si>
  <si>
    <t>Shivpuri</t>
  </si>
  <si>
    <t>Sidhi</t>
  </si>
  <si>
    <t>Singrauli</t>
  </si>
  <si>
    <t>Tikamgarh</t>
  </si>
  <si>
    <t>Ujjain</t>
  </si>
  <si>
    <t>Umaria</t>
  </si>
  <si>
    <t>Vidisha</t>
  </si>
  <si>
    <t>Ahmednagar</t>
  </si>
  <si>
    <t>Akola</t>
  </si>
  <si>
    <t>Amravati</t>
  </si>
  <si>
    <t>Beed</t>
  </si>
  <si>
    <t>Bhandara</t>
  </si>
  <si>
    <t>Buldhana</t>
  </si>
  <si>
    <t>Chandrapur</t>
  </si>
  <si>
    <t>Dhule</t>
  </si>
  <si>
    <t>Gadchiroli</t>
  </si>
  <si>
    <t>Gondia</t>
  </si>
  <si>
    <t>Hingoli</t>
  </si>
  <si>
    <t>Jalgaon</t>
  </si>
  <si>
    <t>Jalna</t>
  </si>
  <si>
    <t>Kolhapur</t>
  </si>
  <si>
    <t>Latur</t>
  </si>
  <si>
    <t>Mumbai City</t>
  </si>
  <si>
    <t>Mumbai suburban</t>
  </si>
  <si>
    <t>Nanded</t>
  </si>
  <si>
    <t>Nandurbar</t>
  </si>
  <si>
    <t>Nagpur</t>
  </si>
  <si>
    <t>Nashik</t>
  </si>
  <si>
    <t>Osmanabad</t>
  </si>
  <si>
    <t>Palghar</t>
  </si>
  <si>
    <t>Parbhani</t>
  </si>
  <si>
    <t>Pune</t>
  </si>
  <si>
    <t>Raigad</t>
  </si>
  <si>
    <t>Ratnagiri</t>
  </si>
  <si>
    <t>Sangli</t>
  </si>
  <si>
    <t>Satara</t>
  </si>
  <si>
    <t>Sindhudurg</t>
  </si>
  <si>
    <t>Solapur</t>
  </si>
  <si>
    <t>Thane</t>
  </si>
  <si>
    <t>Wardha</t>
  </si>
  <si>
    <t>Washim</t>
  </si>
  <si>
    <t>Yavatmal</t>
  </si>
  <si>
    <t>Bishnupur</t>
  </si>
  <si>
    <t>Thoubal</t>
  </si>
  <si>
    <t>Imphal East</t>
  </si>
  <si>
    <t>Imphal West</t>
  </si>
  <si>
    <t>Senapati</t>
  </si>
  <si>
    <t>Ukhrul</t>
  </si>
  <si>
    <t>Chandel</t>
  </si>
  <si>
    <t>Churachandpur</t>
  </si>
  <si>
    <t>Tamenglong</t>
  </si>
  <si>
    <t>Jiribam</t>
  </si>
  <si>
    <t>Kangpokpi (Sadar Hills)</t>
  </si>
  <si>
    <t>Kakching</t>
  </si>
  <si>
    <t>Tengnoupal</t>
  </si>
  <si>
    <t>Kamjong</t>
  </si>
  <si>
    <t>Noney</t>
  </si>
  <si>
    <t>Pherzawl</t>
  </si>
  <si>
    <t>East Garo Hills</t>
  </si>
  <si>
    <t>East Khasi Hills</t>
  </si>
  <si>
    <t>East Jaintia Hills</t>
  </si>
  <si>
    <t>North Garo Hills</t>
  </si>
  <si>
    <t>Ri Bhoi</t>
  </si>
  <si>
    <t>South Garo Hills</t>
  </si>
  <si>
    <t>South West Garo Hills</t>
  </si>
  <si>
    <t>South West Khasi Hills</t>
  </si>
  <si>
    <t>West Jaintia Hills</t>
  </si>
  <si>
    <t>West Garo Hills</t>
  </si>
  <si>
    <t>West Khasi Hills</t>
  </si>
  <si>
    <t>Aizawl</t>
  </si>
  <si>
    <t>Champhai</t>
  </si>
  <si>
    <t>Kolasib</t>
  </si>
  <si>
    <t>Lawngtlai</t>
  </si>
  <si>
    <t>Lunglei</t>
  </si>
  <si>
    <t>Mamit</t>
  </si>
  <si>
    <t>Saiha</t>
  </si>
  <si>
    <t>Serchhip</t>
  </si>
  <si>
    <t>Dimapur</t>
  </si>
  <si>
    <t>Kiphire</t>
  </si>
  <si>
    <t>Kohima</t>
  </si>
  <si>
    <t>Longleng</t>
  </si>
  <si>
    <t>Mokokchung</t>
  </si>
  <si>
    <t>Mon</t>
  </si>
  <si>
    <t>Noklak</t>
  </si>
  <si>
    <t>Peren</t>
  </si>
  <si>
    <t>Phek</t>
  </si>
  <si>
    <t>Tuensang</t>
  </si>
  <si>
    <t>Wokha</t>
  </si>
  <si>
    <t>Zunheboto</t>
  </si>
  <si>
    <t>Angul</t>
  </si>
  <si>
    <t>Boudh (Bauda)</t>
  </si>
  <si>
    <t>Bhadrak</t>
  </si>
  <si>
    <t>Balangir</t>
  </si>
  <si>
    <t>Bargarh (Baragarh)</t>
  </si>
  <si>
    <t>Balasore</t>
  </si>
  <si>
    <t>Cuttack</t>
  </si>
  <si>
    <t>Debagarh (Deogarh)</t>
  </si>
  <si>
    <t>Dhenkanal</t>
  </si>
  <si>
    <t>Ganjam</t>
  </si>
  <si>
    <t>Gajapati</t>
  </si>
  <si>
    <t>Jharsuguda</t>
  </si>
  <si>
    <t>Jajpur</t>
  </si>
  <si>
    <t>Jagatsinghpur</t>
  </si>
  <si>
    <t>Khordha</t>
  </si>
  <si>
    <t>Kendujhar (Keonjhar)</t>
  </si>
  <si>
    <t>Kalahandi</t>
  </si>
  <si>
    <t>Kandhamal</t>
  </si>
  <si>
    <t>Koraput</t>
  </si>
  <si>
    <t>Kendrapara</t>
  </si>
  <si>
    <t>Malkangiri</t>
  </si>
  <si>
    <t>Mayurbhanj</t>
  </si>
  <si>
    <t>Nabarangpur</t>
  </si>
  <si>
    <t>Nuapada</t>
  </si>
  <si>
    <t>Nayagarh</t>
  </si>
  <si>
    <t>Puri</t>
  </si>
  <si>
    <t>Rayagada</t>
  </si>
  <si>
    <t>Sambalpur</t>
  </si>
  <si>
    <t>Subarnapur (Sonepur)</t>
  </si>
  <si>
    <t>Sundargarh</t>
  </si>
  <si>
    <t>Karaikal</t>
  </si>
  <si>
    <t>Mahe</t>
  </si>
  <si>
    <t>Yanam</t>
  </si>
  <si>
    <t>Amritsar</t>
  </si>
  <si>
    <t>Barnala</t>
  </si>
  <si>
    <t>Bathinda</t>
  </si>
  <si>
    <t>Firozpur</t>
  </si>
  <si>
    <t>Faridkot</t>
  </si>
  <si>
    <t>Fatehgarh Sahib</t>
  </si>
  <si>
    <t>Fazilka</t>
  </si>
  <si>
    <t>Gurdaspur</t>
  </si>
  <si>
    <t>Hoshiarpur</t>
  </si>
  <si>
    <t>Jalandhar</t>
  </si>
  <si>
    <t>Kapurthala</t>
  </si>
  <si>
    <t>Ludhiana</t>
  </si>
  <si>
    <t>Mansa</t>
  </si>
  <si>
    <t>Moga</t>
  </si>
  <si>
    <t>Sri Muktsar Sahib</t>
  </si>
  <si>
    <t>Pathankot</t>
  </si>
  <si>
    <t>Patiala</t>
  </si>
  <si>
    <t>Rupnagar</t>
  </si>
  <si>
    <t>Sahibzada Ajit Singh Nagar</t>
  </si>
  <si>
    <t>Sangrur</t>
  </si>
  <si>
    <t>Shahid Bhagat Singh Nagar</t>
  </si>
  <si>
    <t>Tarn Taran</t>
  </si>
  <si>
    <t>Ajmer</t>
  </si>
  <si>
    <t>Alwar</t>
  </si>
  <si>
    <t>Bikaner</t>
  </si>
  <si>
    <t>Barmer</t>
  </si>
  <si>
    <t>Banswara</t>
  </si>
  <si>
    <t>Bharatpur</t>
  </si>
  <si>
    <t>Baran</t>
  </si>
  <si>
    <t>Bundi</t>
  </si>
  <si>
    <t>Bhilwara</t>
  </si>
  <si>
    <t>Churu</t>
  </si>
  <si>
    <t>Chittorgarh</t>
  </si>
  <si>
    <t>Dausa</t>
  </si>
  <si>
    <t>Dholpur</t>
  </si>
  <si>
    <t>Dungarpur</t>
  </si>
  <si>
    <t>Ganganagar</t>
  </si>
  <si>
    <t>Hanumangarh</t>
  </si>
  <si>
    <t>Jhunjhunu</t>
  </si>
  <si>
    <t>Jalore</t>
  </si>
  <si>
    <t>Jodhpur</t>
  </si>
  <si>
    <t>Jaipur</t>
  </si>
  <si>
    <t>Jaisalmer</t>
  </si>
  <si>
    <t>Jhalawar</t>
  </si>
  <si>
    <t>Karauli</t>
  </si>
  <si>
    <t>Kota</t>
  </si>
  <si>
    <t>Nagaur</t>
  </si>
  <si>
    <t>Pali</t>
  </si>
  <si>
    <t>Pratapgarh</t>
  </si>
  <si>
    <t>Rajsamand</t>
  </si>
  <si>
    <t>Sikar</t>
  </si>
  <si>
    <t>Sawai Madhopur</t>
  </si>
  <si>
    <t>Sirohi</t>
  </si>
  <si>
    <t>Tonk</t>
  </si>
  <si>
    <t>Udaipur</t>
  </si>
  <si>
    <t>East Sikkim</t>
  </si>
  <si>
    <t>North Sikkim</t>
  </si>
  <si>
    <t>South Sikkim</t>
  </si>
  <si>
    <t>West Sikkim</t>
  </si>
  <si>
    <t>Ariyalur</t>
  </si>
  <si>
    <t>Chennai</t>
  </si>
  <si>
    <t>Coimbatore</t>
  </si>
  <si>
    <t>Cuddalore</t>
  </si>
  <si>
    <t>Dharmapuri</t>
  </si>
  <si>
    <t>Dindigul</t>
  </si>
  <si>
    <t>Erode</t>
  </si>
  <si>
    <t>Kallakurichi</t>
  </si>
  <si>
    <t>Kanchipuram</t>
  </si>
  <si>
    <t>Kanyakumari</t>
  </si>
  <si>
    <t>Karur</t>
  </si>
  <si>
    <t>Krishnagiri</t>
  </si>
  <si>
    <t>Madurai</t>
  </si>
  <si>
    <t>Nagapattinam</t>
  </si>
  <si>
    <t>Nilgiris</t>
  </si>
  <si>
    <t>Namakkal</t>
  </si>
  <si>
    <t>Perambalur</t>
  </si>
  <si>
    <t>Pudukkottai</t>
  </si>
  <si>
    <t>Ramanathapuram</t>
  </si>
  <si>
    <t>Salem</t>
  </si>
  <si>
    <t>Sivaganga</t>
  </si>
  <si>
    <t>Tirupur</t>
  </si>
  <si>
    <t>Tiruchirappalli</t>
  </si>
  <si>
    <t>Theni</t>
  </si>
  <si>
    <t>Tirunelveli</t>
  </si>
  <si>
    <t>Thanjavur</t>
  </si>
  <si>
    <t>Thoothukudi</t>
  </si>
  <si>
    <t>Tiruvallur</t>
  </si>
  <si>
    <t>Tiruvarur</t>
  </si>
  <si>
    <t>Tiruvannamalai</t>
  </si>
  <si>
    <t>Vellore</t>
  </si>
  <si>
    <t>Viluppuram</t>
  </si>
  <si>
    <t>Virudhunagar</t>
  </si>
  <si>
    <t>Adilabad</t>
  </si>
  <si>
    <t>Komaram Bheem Asifabad</t>
  </si>
  <si>
    <t>Bhadradri Kothagudem</t>
  </si>
  <si>
    <t>Hyderabad</t>
  </si>
  <si>
    <t>Jagtial</t>
  </si>
  <si>
    <t>Jangaon</t>
  </si>
  <si>
    <t>Jayashankar Bhupalpally</t>
  </si>
  <si>
    <t>Jogulamba Gadwal</t>
  </si>
  <si>
    <t>Kamareddy</t>
  </si>
  <si>
    <t>Karimnagar</t>
  </si>
  <si>
    <t>Khammam</t>
  </si>
  <si>
    <t>Mahabubabad</t>
  </si>
  <si>
    <t>Mahbubnagar</t>
  </si>
  <si>
    <t>Mancherial</t>
  </si>
  <si>
    <t>Medak</t>
  </si>
  <si>
    <t>Medchal</t>
  </si>
  <si>
    <t>Nalgonda</t>
  </si>
  <si>
    <t>Nagarkurnool</t>
  </si>
  <si>
    <t>Nirmal</t>
  </si>
  <si>
    <t>Nizamabad</t>
  </si>
  <si>
    <t>Peddapalli</t>
  </si>
  <si>
    <t>Rajanna Sircilla</t>
  </si>
  <si>
    <t>Ranga Reddy</t>
  </si>
  <si>
    <t>Sangareddy</t>
  </si>
  <si>
    <t>Siddipet</t>
  </si>
  <si>
    <t>Suryapet</t>
  </si>
  <si>
    <t>Vikarabad</t>
  </si>
  <si>
    <t>Wanaparthy</t>
  </si>
  <si>
    <t>Warangal (urban)</t>
  </si>
  <si>
    <t>Warangal (rural)</t>
  </si>
  <si>
    <t>Yadadri Bhuvanagiri</t>
  </si>
  <si>
    <t>Dhalai</t>
  </si>
  <si>
    <t>Gomati</t>
  </si>
  <si>
    <t>Khowai</t>
  </si>
  <si>
    <t>North Tripura</t>
  </si>
  <si>
    <t>Sepahijala</t>
  </si>
  <si>
    <t>South Tripura</t>
  </si>
  <si>
    <t>Unokoti</t>
  </si>
  <si>
    <t>West Tripura</t>
  </si>
  <si>
    <t>Agra</t>
  </si>
  <si>
    <t>Aligarh</t>
  </si>
  <si>
    <t>Allahabad</t>
  </si>
  <si>
    <t>Ambedkar Nagar</t>
  </si>
  <si>
    <t>Amethi</t>
  </si>
  <si>
    <t>Amroha</t>
  </si>
  <si>
    <t>Auraiya</t>
  </si>
  <si>
    <t>Azamgarh</t>
  </si>
  <si>
    <t>Bagpat</t>
  </si>
  <si>
    <t>Bahraich</t>
  </si>
  <si>
    <t>Ballia</t>
  </si>
  <si>
    <t>Banda</t>
  </si>
  <si>
    <t>Barabanki</t>
  </si>
  <si>
    <t>Bareilly</t>
  </si>
  <si>
    <t>Basti</t>
  </si>
  <si>
    <t>Bhadohi</t>
  </si>
  <si>
    <t>Bijnor</t>
  </si>
  <si>
    <t>Budaun</t>
  </si>
  <si>
    <t>Bulandshahr</t>
  </si>
  <si>
    <t>Chandauli</t>
  </si>
  <si>
    <t>Chitrakoot</t>
  </si>
  <si>
    <t>Deoria</t>
  </si>
  <si>
    <t>Etah</t>
  </si>
  <si>
    <t>Etawah</t>
  </si>
  <si>
    <t>Faizabad</t>
  </si>
  <si>
    <t>Farrukhabad</t>
  </si>
  <si>
    <t>Fatehpur</t>
  </si>
  <si>
    <t>Firozabad</t>
  </si>
  <si>
    <t>Gautam Buddh Nagar</t>
  </si>
  <si>
    <t>Ghaziabad</t>
  </si>
  <si>
    <t>Ghazipur</t>
  </si>
  <si>
    <t>Gonda</t>
  </si>
  <si>
    <t>Gorakhpur</t>
  </si>
  <si>
    <t>Hapur</t>
  </si>
  <si>
    <t>Hardoi</t>
  </si>
  <si>
    <t>Hathras</t>
  </si>
  <si>
    <t>Jalaun</t>
  </si>
  <si>
    <t>Jaunpur</t>
  </si>
  <si>
    <t>Jhansi</t>
  </si>
  <si>
    <t>Kannauj</t>
  </si>
  <si>
    <t>Kanpur Dehat</t>
  </si>
  <si>
    <t>Kanpur Nagar</t>
  </si>
  <si>
    <t>Kasganj</t>
  </si>
  <si>
    <t>Kaushambi</t>
  </si>
  <si>
    <t>Kushinagar</t>
  </si>
  <si>
    <t>Lakhimpur Kheri</t>
  </si>
  <si>
    <t>Lalitpur</t>
  </si>
  <si>
    <t>Lucknow</t>
  </si>
  <si>
    <t>Maharajganj</t>
  </si>
  <si>
    <t>Mahoba</t>
  </si>
  <si>
    <t>Mainpuri</t>
  </si>
  <si>
    <t>Mathura</t>
  </si>
  <si>
    <t>Mau</t>
  </si>
  <si>
    <t>Meerut</t>
  </si>
  <si>
    <t>Mirzapur</t>
  </si>
  <si>
    <t>Moradabad</t>
  </si>
  <si>
    <t>Muzaffarnagar</t>
  </si>
  <si>
    <t>Pilibhit</t>
  </si>
  <si>
    <t>Raebareli</t>
  </si>
  <si>
    <t>Rampur</t>
  </si>
  <si>
    <t>Saharanpur</t>
  </si>
  <si>
    <t>Sambhal</t>
  </si>
  <si>
    <t>Sant Kabir Nagar</t>
  </si>
  <si>
    <t>Shahjahanpur</t>
  </si>
  <si>
    <t>Shamli</t>
  </si>
  <si>
    <t>Shravasti</t>
  </si>
  <si>
    <t>Siddharthnagar</t>
  </si>
  <si>
    <t>Sitapur</t>
  </si>
  <si>
    <t>Sonbhadra</t>
  </si>
  <si>
    <t>Sultanpur</t>
  </si>
  <si>
    <t>Unnao</t>
  </si>
  <si>
    <t>Varanasi</t>
  </si>
  <si>
    <t>Almora</t>
  </si>
  <si>
    <t>Bageshwar</t>
  </si>
  <si>
    <t>Chamoli</t>
  </si>
  <si>
    <t>Champawat</t>
  </si>
  <si>
    <t>Dehradun</t>
  </si>
  <si>
    <t>Haridwar</t>
  </si>
  <si>
    <t>Nainital</t>
  </si>
  <si>
    <t>Pauri Garhwal</t>
  </si>
  <si>
    <t>Pithoragarh</t>
  </si>
  <si>
    <t>Rudraprayag</t>
  </si>
  <si>
    <t>Tehri Garhwal</t>
  </si>
  <si>
    <t>Udham Singh Nagar</t>
  </si>
  <si>
    <t>Uttarkashi</t>
  </si>
  <si>
    <t>Alipurduar</t>
  </si>
  <si>
    <t>Bankura</t>
  </si>
  <si>
    <t>Paschim Bardhaman</t>
  </si>
  <si>
    <t>Purba Bardhaman</t>
  </si>
  <si>
    <t>Birbhum</t>
  </si>
  <si>
    <t>Cooch Behar</t>
  </si>
  <si>
    <t>Dakshin Dinajpur</t>
  </si>
  <si>
    <t>Darjeeling</t>
  </si>
  <si>
    <t>Hooghly</t>
  </si>
  <si>
    <t>Howrah</t>
  </si>
  <si>
    <t>Jalpaiguri</t>
  </si>
  <si>
    <t>Jhargram</t>
  </si>
  <si>
    <t>Kalimpong</t>
  </si>
  <si>
    <t>Kolkata</t>
  </si>
  <si>
    <t>Maldah</t>
  </si>
  <si>
    <t>Murshidabad</t>
  </si>
  <si>
    <t>Nadia</t>
  </si>
  <si>
    <t>North 24 Parganas</t>
  </si>
  <si>
    <t>Paschim Medinipur</t>
  </si>
  <si>
    <t>Purba Medinipur</t>
  </si>
  <si>
    <t>Purulia</t>
  </si>
  <si>
    <t>South 24 Parganas</t>
  </si>
  <si>
    <t>Uttar Dinajpur</t>
  </si>
  <si>
    <t>Port Blair</t>
  </si>
  <si>
    <t>Adoni</t>
  </si>
  <si>
    <t>Amalapuram</t>
  </si>
  <si>
    <t>Amaravathi</t>
  </si>
  <si>
    <t>Amaravati</t>
  </si>
  <si>
    <t>Anakapalle</t>
  </si>
  <si>
    <t>Banaganipalli</t>
  </si>
  <si>
    <t>Bapatla</t>
  </si>
  <si>
    <t>Bheemunipatnam</t>
  </si>
  <si>
    <t>Bhimavaram</t>
  </si>
  <si>
    <t>Bobbili</t>
  </si>
  <si>
    <t>Chirala</t>
  </si>
  <si>
    <t>Dharmavaram</t>
  </si>
  <si>
    <t>Eluru</t>
  </si>
  <si>
    <t>Gavaravaram</t>
  </si>
  <si>
    <t>Gooty</t>
  </si>
  <si>
    <t>Gudivada</t>
  </si>
  <si>
    <t>Gudur</t>
  </si>
  <si>
    <t>Guntakal</t>
  </si>
  <si>
    <t>Hindupur</t>
  </si>
  <si>
    <t>Jaggaiahpet</t>
  </si>
  <si>
    <t>Jammalamadugu</t>
  </si>
  <si>
    <t>Kadiri</t>
  </si>
  <si>
    <t>Kakinada</t>
  </si>
  <si>
    <t>Kandukur</t>
  </si>
  <si>
    <t>Kanigiri</t>
  </si>
  <si>
    <t>Kavali</t>
  </si>
  <si>
    <t>Kovvur</t>
  </si>
  <si>
    <t>Macherla</t>
  </si>
  <si>
    <t>Machilipatnam</t>
  </si>
  <si>
    <t>Madanapalle</t>
  </si>
  <si>
    <t>Mandapeta</t>
  </si>
  <si>
    <t>Markapur</t>
  </si>
  <si>
    <t>Nagari</t>
  </si>
  <si>
    <t>Naidupet</t>
  </si>
  <si>
    <t>Nandyal</t>
  </si>
  <si>
    <t>Narasapuram</t>
  </si>
  <si>
    <t>Narasaraopet</t>
  </si>
  <si>
    <t>Narsipatnam</t>
  </si>
  <si>
    <t>Nellore</t>
  </si>
  <si>
    <t>Nidadavole</t>
  </si>
  <si>
    <t>Nuzvid</t>
  </si>
  <si>
    <t>Ongole</t>
  </si>
  <si>
    <t>Owk</t>
  </si>
  <si>
    <t>Palasa Kasibugga</t>
  </si>
  <si>
    <t>Parvathipuram</t>
  </si>
  <si>
    <t>Pedana</t>
  </si>
  <si>
    <t>Peddapuram</t>
  </si>
  <si>
    <t>Pithapuram</t>
  </si>
  <si>
    <t>Ponnur</t>
  </si>
  <si>
    <t>Proddatur</t>
  </si>
  <si>
    <t>Punganur</t>
  </si>
  <si>
    <t>Puttur</t>
  </si>
  <si>
    <t>Rajahmundry</t>
  </si>
  <si>
    <t>Rajam</t>
  </si>
  <si>
    <t>Ramachandrapuram</t>
  </si>
  <si>
    <t>Rayachoti</t>
  </si>
  <si>
    <t>Rayadurg</t>
  </si>
  <si>
    <t>Renigunta</t>
  </si>
  <si>
    <t>Repalle</t>
  </si>
  <si>
    <t>Salur</t>
  </si>
  <si>
    <t>Samalkot</t>
  </si>
  <si>
    <t>Sanivarapupeta</t>
  </si>
  <si>
    <t>Satrampadu</t>
  </si>
  <si>
    <t>Sattenapalle</t>
  </si>
  <si>
    <t>Srikalahasti</t>
  </si>
  <si>
    <t>Srisailam (RFC) Township</t>
  </si>
  <si>
    <t>Sullurpeta</t>
  </si>
  <si>
    <t>Tadepalligudem</t>
  </si>
  <si>
    <t>Tadipatri</t>
  </si>
  <si>
    <t>Tanuku</t>
  </si>
  <si>
    <t>Tenali</t>
  </si>
  <si>
    <t>Tirupati</t>
  </si>
  <si>
    <t>Tiruvuru</t>
  </si>
  <si>
    <t>Tuni</t>
  </si>
  <si>
    <t>Uravakonda</t>
  </si>
  <si>
    <t>Venkatagiri</t>
  </si>
  <si>
    <t>Vijayanagaram</t>
  </si>
  <si>
    <t>Vinukonda</t>
  </si>
  <si>
    <t>Yemmiganur</t>
  </si>
  <si>
    <t>Yerraguntla</t>
  </si>
  <si>
    <t>Vijayawada</t>
  </si>
  <si>
    <t>Dhone</t>
  </si>
  <si>
    <t>Naharlagun</t>
  </si>
  <si>
    <t>Pasighat</t>
  </si>
  <si>
    <t>Bongaigaon City</t>
  </si>
  <si>
    <t>Diphu</t>
  </si>
  <si>
    <t>Guwahati</t>
  </si>
  <si>
    <t>Lanka</t>
  </si>
  <si>
    <t>Lumding</t>
  </si>
  <si>
    <t>Mangaldoi</t>
  </si>
  <si>
    <t>Mankachar</t>
  </si>
  <si>
    <t>Margherita</t>
  </si>
  <si>
    <t>Mariani</t>
  </si>
  <si>
    <t>Marigaon</t>
  </si>
  <si>
    <t>North Lakhimpur</t>
  </si>
  <si>
    <t>Rangiya</t>
  </si>
  <si>
    <t>Sibsagar</t>
  </si>
  <si>
    <t>Silapathar</t>
  </si>
  <si>
    <t>Tezpur</t>
  </si>
  <si>
    <t>Arrah</t>
  </si>
  <si>
    <t>Asarganj</t>
  </si>
  <si>
    <t>Bagaha</t>
  </si>
  <si>
    <t>Bagha Kusmar</t>
  </si>
  <si>
    <t>Barauli</t>
  </si>
  <si>
    <t>Barbigha</t>
  </si>
  <si>
    <t>Bettiah</t>
  </si>
  <si>
    <t>Bhabua</t>
  </si>
  <si>
    <t>Bihar Sharif</t>
  </si>
  <si>
    <t>Chapra</t>
  </si>
  <si>
    <t>Danapur</t>
  </si>
  <si>
    <t>Dehri</t>
  </si>
  <si>
    <t>Dumraon</t>
  </si>
  <si>
    <t>Forbesganj</t>
  </si>
  <si>
    <t>Hajipur</t>
  </si>
  <si>
    <t>Jamalpur</t>
  </si>
  <si>
    <t>Lalganj</t>
  </si>
  <si>
    <t>Mahnar Bazar</t>
  </si>
  <si>
    <t>Makhdumpur</t>
  </si>
  <si>
    <t>Maner Sharif</t>
  </si>
  <si>
    <t>Manihari</t>
  </si>
  <si>
    <t>Marhaura</t>
  </si>
  <si>
    <t>Masaurhi</t>
  </si>
  <si>
    <t>Mirganj</t>
  </si>
  <si>
    <t>Mokameh</t>
  </si>
  <si>
    <t>Motihari</t>
  </si>
  <si>
    <t>Motipur</t>
  </si>
  <si>
    <t>Murliganj</t>
  </si>
  <si>
    <t>Narkatiaganj</t>
  </si>
  <si>
    <t>Naugachhia</t>
  </si>
  <si>
    <t>Nokha</t>
  </si>
  <si>
    <t>Piro</t>
  </si>
  <si>
    <t>Rafiganj</t>
  </si>
  <si>
    <t>Rajgir</t>
  </si>
  <si>
    <t>Ramnagar</t>
  </si>
  <si>
    <t>Raxaul Bazar</t>
  </si>
  <si>
    <t>Revelganj</t>
  </si>
  <si>
    <t>Rosera</t>
  </si>
  <si>
    <t>Sasaram</t>
  </si>
  <si>
    <t>Sherghati</t>
  </si>
  <si>
    <t>Silao</t>
  </si>
  <si>
    <t>Sonepur</t>
  </si>
  <si>
    <t>Sugauli</t>
  </si>
  <si>
    <t>Sultanganj</t>
  </si>
  <si>
    <t>Warisaliganj</t>
  </si>
  <si>
    <t>Bhatapara</t>
  </si>
  <si>
    <t>Bhilai</t>
  </si>
  <si>
    <t>Chirmiri</t>
  </si>
  <si>
    <t>Dalli-Rajhara</t>
  </si>
  <si>
    <t>Manendragarh</t>
  </si>
  <si>
    <t>Naila Janjgir</t>
  </si>
  <si>
    <t>Sakti</t>
  </si>
  <si>
    <t>Tilda Newra</t>
  </si>
  <si>
    <t>Silvassa</t>
  </si>
  <si>
    <t>Bhalswa Jahangir Pur</t>
  </si>
  <si>
    <t>Karawal Nagar</t>
  </si>
  <si>
    <t>Kirari Suleman Nagar</t>
  </si>
  <si>
    <t>Nangloi Jat</t>
  </si>
  <si>
    <t>Sultan Pur Majra</t>
  </si>
  <si>
    <t>Mapusa</t>
  </si>
  <si>
    <t>Margao</t>
  </si>
  <si>
    <t>Panaji</t>
  </si>
  <si>
    <t>Adalaj</t>
  </si>
  <si>
    <t>Anjar</t>
  </si>
  <si>
    <t>Ankleshwar</t>
  </si>
  <si>
    <t>Chhapra</t>
  </si>
  <si>
    <t>Dhoraji</t>
  </si>
  <si>
    <t>Gandhidham</t>
  </si>
  <si>
    <t>Kadi</t>
  </si>
  <si>
    <t>Kapadvanj</t>
  </si>
  <si>
    <t>Keshod</t>
  </si>
  <si>
    <t>Khambhat</t>
  </si>
  <si>
    <t>Lathi</t>
  </si>
  <si>
    <t>Limbdi</t>
  </si>
  <si>
    <t>Lunawada</t>
  </si>
  <si>
    <t>Mahemdabad</t>
  </si>
  <si>
    <t>Mahesana</t>
  </si>
  <si>
    <t>Manavadar</t>
  </si>
  <si>
    <t>Mandvi</t>
  </si>
  <si>
    <t>Mangrol</t>
  </si>
  <si>
    <t>Modasa</t>
  </si>
  <si>
    <t>Nadiad</t>
  </si>
  <si>
    <t>Padra</t>
  </si>
  <si>
    <t>Palitana</t>
  </si>
  <si>
    <t>Pardi</t>
  </si>
  <si>
    <t>Petlad</t>
  </si>
  <si>
    <t>Radhanpur</t>
  </si>
  <si>
    <t>Rajpipla</t>
  </si>
  <si>
    <t>Rajula</t>
  </si>
  <si>
    <t>Ranavav</t>
  </si>
  <si>
    <t>Rapar</t>
  </si>
  <si>
    <t>Salaya</t>
  </si>
  <si>
    <t>Sanand</t>
  </si>
  <si>
    <t>Savarkundla</t>
  </si>
  <si>
    <t>Sidhpur</t>
  </si>
  <si>
    <t>Sihor</t>
  </si>
  <si>
    <t>Songadh</t>
  </si>
  <si>
    <t>Surendranagar Dudhrej</t>
  </si>
  <si>
    <t>Talaja</t>
  </si>
  <si>
    <t>Thangadh</t>
  </si>
  <si>
    <t>Tharad</t>
  </si>
  <si>
    <t>Umbergaon</t>
  </si>
  <si>
    <t>Umreth</t>
  </si>
  <si>
    <t>Unjha</t>
  </si>
  <si>
    <t>Upleta</t>
  </si>
  <si>
    <t>Vadnagar</t>
  </si>
  <si>
    <t>Vapi</t>
  </si>
  <si>
    <t>Vijapur</t>
  </si>
  <si>
    <t>Viramgam</t>
  </si>
  <si>
    <t>Visnagar</t>
  </si>
  <si>
    <t>Vyara</t>
  </si>
  <si>
    <t>Wadhwan</t>
  </si>
  <si>
    <t>Wankaner</t>
  </si>
  <si>
    <t>Ellenabad</t>
  </si>
  <si>
    <t>Gohana</t>
  </si>
  <si>
    <t>Gurgaon</t>
  </si>
  <si>
    <t>Hansi</t>
  </si>
  <si>
    <t>Khanda</t>
  </si>
  <si>
    <t>Ladwa</t>
  </si>
  <si>
    <t>Mandi Dabwali</t>
  </si>
  <si>
    <t>Narnaul</t>
  </si>
  <si>
    <t>Narwana</t>
  </si>
  <si>
    <t>Pehowa</t>
  </si>
  <si>
    <t>Rania</t>
  </si>
  <si>
    <t>Ratia</t>
  </si>
  <si>
    <t>Safidon</t>
  </si>
  <si>
    <t>Samalkha</t>
  </si>
  <si>
    <t>Sarsod</t>
  </si>
  <si>
    <t>Shahbad</t>
  </si>
  <si>
    <t>Sohna</t>
  </si>
  <si>
    <t>Taraori</t>
  </si>
  <si>
    <t>Tohana</t>
  </si>
  <si>
    <t>Yamunanagar</t>
  </si>
  <si>
    <t>Nahan</t>
  </si>
  <si>
    <t>Palampur</t>
  </si>
  <si>
    <t>Sundarnagar</t>
  </si>
  <si>
    <t>Rajauri</t>
  </si>
  <si>
    <t>Sopore</t>
  </si>
  <si>
    <t>Chaibasa</t>
  </si>
  <si>
    <t>Chirkunda</t>
  </si>
  <si>
    <t>Gumia</t>
  </si>
  <si>
    <t>Jamshedpur</t>
  </si>
  <si>
    <t>Jhumri Tilaiya</t>
  </si>
  <si>
    <t>Madhupur</t>
  </si>
  <si>
    <t>Mango</t>
  </si>
  <si>
    <t>Medininagar (Daltonganj)</t>
  </si>
  <si>
    <t>Mihijam</t>
  </si>
  <si>
    <t>Musabani</t>
  </si>
  <si>
    <t>Pakaur</t>
  </si>
  <si>
    <t>Patratu</t>
  </si>
  <si>
    <t>Saunda</t>
  </si>
  <si>
    <t>Tenu dam-cum-Kathhara</t>
  </si>
  <si>
    <t>Adyar</t>
  </si>
  <si>
    <t>Afzalpur</t>
  </si>
  <si>
    <t>Arsikere</t>
  </si>
  <si>
    <t>Athni</t>
  </si>
  <si>
    <t>Bangalore</t>
  </si>
  <si>
    <t>Belgaum</t>
  </si>
  <si>
    <t>Bellary</t>
  </si>
  <si>
    <t>Gokak</t>
  </si>
  <si>
    <t>Gulbarga</t>
  </si>
  <si>
    <t>Hospet</t>
  </si>
  <si>
    <t>Hubballi-Dharwad</t>
  </si>
  <si>
    <t>Lakshmeshwar</t>
  </si>
  <si>
    <t>Lingsugur</t>
  </si>
  <si>
    <t>Maddur</t>
  </si>
  <si>
    <t>Madhugiri</t>
  </si>
  <si>
    <t>Madikeri</t>
  </si>
  <si>
    <t>Magadi</t>
  </si>
  <si>
    <t>Mahalingapura</t>
  </si>
  <si>
    <t>Malavalli</t>
  </si>
  <si>
    <t>Malur</t>
  </si>
  <si>
    <t>Mangalore</t>
  </si>
  <si>
    <t>Manvi</t>
  </si>
  <si>
    <t>Mudabidri</t>
  </si>
  <si>
    <t>Mudalagi</t>
  </si>
  <si>
    <t>Muddebihal</t>
  </si>
  <si>
    <t>Mudhol</t>
  </si>
  <si>
    <t>Mulbagal</t>
  </si>
  <si>
    <t>Mundargi</t>
  </si>
  <si>
    <t>Mysore</t>
  </si>
  <si>
    <t>Nanjangud</t>
  </si>
  <si>
    <t>Nargund</t>
  </si>
  <si>
    <t>Navalgund</t>
  </si>
  <si>
    <t>Nelamangala</t>
  </si>
  <si>
    <t>Pavagada</t>
  </si>
  <si>
    <t>Piriyapatna</t>
  </si>
  <si>
    <t>Rabkavi Banhatti</t>
  </si>
  <si>
    <t>Ramanagaram</t>
  </si>
  <si>
    <t>Ramdurg</t>
  </si>
  <si>
    <t>Ranibennur</t>
  </si>
  <si>
    <t>Ron</t>
  </si>
  <si>
    <t>Sagara</t>
  </si>
  <si>
    <t>Sakaleshapura</t>
  </si>
  <si>
    <t>Sanduru</t>
  </si>
  <si>
    <t>Sankeshwara</t>
  </si>
  <si>
    <t>Saundatti-Yellamma</t>
  </si>
  <si>
    <t>Savanur</t>
  </si>
  <si>
    <t>Sedam</t>
  </si>
  <si>
    <t>Shahabad</t>
  </si>
  <si>
    <t>Shahpur</t>
  </si>
  <si>
    <t>Shiggaon</t>
  </si>
  <si>
    <t>Shikaripur</t>
  </si>
  <si>
    <t>Shrirangapattana</t>
  </si>
  <si>
    <t>Sidlaghatta</t>
  </si>
  <si>
    <t>Sindagi</t>
  </si>
  <si>
    <t>Sindhagi</t>
  </si>
  <si>
    <t>Sindhnur</t>
  </si>
  <si>
    <t>Sira</t>
  </si>
  <si>
    <t>Sirsi</t>
  </si>
  <si>
    <t>Siruguppa</t>
  </si>
  <si>
    <t>Srinivaspur</t>
  </si>
  <si>
    <t>Surapura</t>
  </si>
  <si>
    <t>Talikota</t>
  </si>
  <si>
    <t>Tarikere</t>
  </si>
  <si>
    <t>Tekkalakote</t>
  </si>
  <si>
    <t>Terdal</t>
  </si>
  <si>
    <t>Tiptur</t>
  </si>
  <si>
    <t>Tumkur</t>
  </si>
  <si>
    <t>Wadi</t>
  </si>
  <si>
    <t>Adoor</t>
  </si>
  <si>
    <t>Aluva</t>
  </si>
  <si>
    <t>Attingal</t>
  </si>
  <si>
    <t>Chalakudy</t>
  </si>
  <si>
    <t>Changanassery</t>
  </si>
  <si>
    <t>Chengannur</t>
  </si>
  <si>
    <t>Cherthala</t>
  </si>
  <si>
    <t>Chittur-Thathamangalam</t>
  </si>
  <si>
    <t>Guruvayoor</t>
  </si>
  <si>
    <t>Kanhangad</t>
  </si>
  <si>
    <t>Kayamkulam</t>
  </si>
  <si>
    <t>Kochi</t>
  </si>
  <si>
    <t>Kodungallur</t>
  </si>
  <si>
    <t>Koyilandy</t>
  </si>
  <si>
    <t>Kunnamkulam</t>
  </si>
  <si>
    <t>Mattannur</t>
  </si>
  <si>
    <t>Mavelikkara</t>
  </si>
  <si>
    <t>Mavoor</t>
  </si>
  <si>
    <t>Muvattupuzha</t>
  </si>
  <si>
    <t>Nedumangad</t>
  </si>
  <si>
    <t>Nedumbassery</t>
  </si>
  <si>
    <t>Neyyattinkara</t>
  </si>
  <si>
    <t>Nilambur</t>
  </si>
  <si>
    <t>Ottappalam</t>
  </si>
  <si>
    <t>Palai</t>
  </si>
  <si>
    <t>Panamattom</t>
  </si>
  <si>
    <t>Panniyannur</t>
  </si>
  <si>
    <t>Pappinisseri</t>
  </si>
  <si>
    <t>Paravoor</t>
  </si>
  <si>
    <t>Peringathur</t>
  </si>
  <si>
    <t>Perinthalmanna</t>
  </si>
  <si>
    <t>Perumbavoor</t>
  </si>
  <si>
    <t>Ponnani</t>
  </si>
  <si>
    <t>Punalur</t>
  </si>
  <si>
    <t>Puthuppally</t>
  </si>
  <si>
    <t>Shoranur</t>
  </si>
  <si>
    <t>Taliparamba</t>
  </si>
  <si>
    <t>Thiruvalla</t>
  </si>
  <si>
    <t>Thodupuzha</t>
  </si>
  <si>
    <t>Thrippunithura</t>
  </si>
  <si>
    <t>Tirur</t>
  </si>
  <si>
    <t>Vaikom</t>
  </si>
  <si>
    <t>Varandarappilly</t>
  </si>
  <si>
    <t>Varkala</t>
  </si>
  <si>
    <t>Vatakara</t>
  </si>
  <si>
    <t>Itarsi</t>
  </si>
  <si>
    <t>Khandwa</t>
  </si>
  <si>
    <t>Lahar</t>
  </si>
  <si>
    <t>Maharajpur</t>
  </si>
  <si>
    <t>Maihar</t>
  </si>
  <si>
    <t>Malaj Khand</t>
  </si>
  <si>
    <t>Manasa</t>
  </si>
  <si>
    <t>Manawar</t>
  </si>
  <si>
    <t>Mandideep</t>
  </si>
  <si>
    <t>Mauganj</t>
  </si>
  <si>
    <t>Mhow Cantonment</t>
  </si>
  <si>
    <t>Mhowgaon</t>
  </si>
  <si>
    <t>Multai</t>
  </si>
  <si>
    <t>Mundi</t>
  </si>
  <si>
    <t>Nainpur</t>
  </si>
  <si>
    <t>Narsinghgarh</t>
  </si>
  <si>
    <t>Nepanagar</t>
  </si>
  <si>
    <t>Nowgong</t>
  </si>
  <si>
    <t>Nowrozabad (Khodargama)</t>
  </si>
  <si>
    <t>Pachore</t>
  </si>
  <si>
    <t>Panagar</t>
  </si>
  <si>
    <t>Pandhurna</t>
  </si>
  <si>
    <t>Pasan</t>
  </si>
  <si>
    <t>Pithampur</t>
  </si>
  <si>
    <t>Porsa</t>
  </si>
  <si>
    <t>Prithvipur</t>
  </si>
  <si>
    <t>Raghogarh-Vijaypur</t>
  </si>
  <si>
    <t>Rahatgarh</t>
  </si>
  <si>
    <t>Rau</t>
  </si>
  <si>
    <t>Rehli</t>
  </si>
  <si>
    <t>Sabalgarh</t>
  </si>
  <si>
    <t>Sanawad</t>
  </si>
  <si>
    <t>Sarangpur</t>
  </si>
  <si>
    <t>Sarni</t>
  </si>
  <si>
    <t>Sausar</t>
  </si>
  <si>
    <t>Sendhwa</t>
  </si>
  <si>
    <t>Seoni-Malwa</t>
  </si>
  <si>
    <t>Shamgarh</t>
  </si>
  <si>
    <t>Shujalpur</t>
  </si>
  <si>
    <t>Sihora</t>
  </si>
  <si>
    <t>Sironj</t>
  </si>
  <si>
    <t>Sohagpur</t>
  </si>
  <si>
    <t>Tarana</t>
  </si>
  <si>
    <t>Vijaypur</t>
  </si>
  <si>
    <t>Wara Seoni</t>
  </si>
  <si>
    <t>Akot</t>
  </si>
  <si>
    <t>Amalner</t>
  </si>
  <si>
    <t>Ambejogai</t>
  </si>
  <si>
    <t>Ambernath</t>
  </si>
  <si>
    <t>Anjangaon</t>
  </si>
  <si>
    <t>Arvi</t>
  </si>
  <si>
    <t>Bhiwandi</t>
  </si>
  <si>
    <t>Bhusawal</t>
  </si>
  <si>
    <t>Ichalkaranji</t>
  </si>
  <si>
    <t>Kalyan-Dombivali</t>
  </si>
  <si>
    <t>Karjat</t>
  </si>
  <si>
    <t>Loha</t>
  </si>
  <si>
    <t>Lonar</t>
  </si>
  <si>
    <t>Lonavla</t>
  </si>
  <si>
    <t>Mahad</t>
  </si>
  <si>
    <t>Malegaon</t>
  </si>
  <si>
    <t>Malkapur</t>
  </si>
  <si>
    <t>Mangalvedhe</t>
  </si>
  <si>
    <t>Mangrulpir</t>
  </si>
  <si>
    <t>Manjlegaon</t>
  </si>
  <si>
    <t>Manmad</t>
  </si>
  <si>
    <t>Manwath</t>
  </si>
  <si>
    <t>Mehkar</t>
  </si>
  <si>
    <t>Mhaswad</t>
  </si>
  <si>
    <t>Mira-Bhayandar</t>
  </si>
  <si>
    <t>Morshi</t>
  </si>
  <si>
    <t>Mukhed</t>
  </si>
  <si>
    <t>Mul</t>
  </si>
  <si>
    <t>Mumbai</t>
  </si>
  <si>
    <t>Murtijapur</t>
  </si>
  <si>
    <t>Nandgaon</t>
  </si>
  <si>
    <t>Nandura</t>
  </si>
  <si>
    <t>Narkhed</t>
  </si>
  <si>
    <t>Navi Mumbai</t>
  </si>
  <si>
    <t>Navi Mumbai Panvel Raigad</t>
  </si>
  <si>
    <t>Nawapur</t>
  </si>
  <si>
    <t>Nilanga</t>
  </si>
  <si>
    <t>Ozar</t>
  </si>
  <si>
    <t>Pachora</t>
  </si>
  <si>
    <t>Paithan</t>
  </si>
  <si>
    <t>Pandharkaoda</t>
  </si>
  <si>
    <t>Pandharpur</t>
  </si>
  <si>
    <t>Panvel</t>
  </si>
  <si>
    <t>Parli</t>
  </si>
  <si>
    <t>Partur</t>
  </si>
  <si>
    <t>Pathardi</t>
  </si>
  <si>
    <t>Pathri</t>
  </si>
  <si>
    <t>Patur</t>
  </si>
  <si>
    <t>Pauni</t>
  </si>
  <si>
    <t>Pen</t>
  </si>
  <si>
    <t>Phaltan</t>
  </si>
  <si>
    <t>Pimpri-Chinchwad</t>
  </si>
  <si>
    <t>Pulgaon</t>
  </si>
  <si>
    <t>Purna</t>
  </si>
  <si>
    <t>Pusad</t>
  </si>
  <si>
    <t>Rahuri</t>
  </si>
  <si>
    <t>Rajura</t>
  </si>
  <si>
    <t>Ramtek</t>
  </si>
  <si>
    <t>Raver</t>
  </si>
  <si>
    <t>Risod</t>
  </si>
  <si>
    <t>Sailu</t>
  </si>
  <si>
    <t>Sangamner</t>
  </si>
  <si>
    <t>Sangli-Miraj &amp; Kupwad</t>
  </si>
  <si>
    <t>Sangole</t>
  </si>
  <si>
    <t>Sasvad</t>
  </si>
  <si>
    <t>Satana</t>
  </si>
  <si>
    <t>Savner</t>
  </si>
  <si>
    <t>Sawantwadi</t>
  </si>
  <si>
    <t>Shahade</t>
  </si>
  <si>
    <t>Shegaon</t>
  </si>
  <si>
    <t>Shendurjana</t>
  </si>
  <si>
    <t>Shirdi</t>
  </si>
  <si>
    <t>Shirpur-Warwade</t>
  </si>
  <si>
    <t>Shirur</t>
  </si>
  <si>
    <t>Shrigonda</t>
  </si>
  <si>
    <t>Shrirampur</t>
  </si>
  <si>
    <t>Sillod</t>
  </si>
  <si>
    <t>Sinnar</t>
  </si>
  <si>
    <t>Soyagaon</t>
  </si>
  <si>
    <t>Talegaon Dabhade</t>
  </si>
  <si>
    <t>Talode</t>
  </si>
  <si>
    <t>Tasgaon</t>
  </si>
  <si>
    <t>Tirora</t>
  </si>
  <si>
    <t>Tuljapur</t>
  </si>
  <si>
    <t>Tumsar</t>
  </si>
  <si>
    <t>Uchgaon</t>
  </si>
  <si>
    <t>Ulhasnagar</t>
  </si>
  <si>
    <t>Umarga</t>
  </si>
  <si>
    <t>Umarkhed</t>
  </si>
  <si>
    <t>Umred</t>
  </si>
  <si>
    <t>Uran</t>
  </si>
  <si>
    <t>Uran Islampur</t>
  </si>
  <si>
    <t>Vadgaon Kasba</t>
  </si>
  <si>
    <t>Vaijapur</t>
  </si>
  <si>
    <t>Vasai-Virar</t>
  </si>
  <si>
    <t>Vita</t>
  </si>
  <si>
    <t>Wadgaon Road</t>
  </si>
  <si>
    <t>Wai</t>
  </si>
  <si>
    <t>Wani</t>
  </si>
  <si>
    <t>Warora</t>
  </si>
  <si>
    <t>Warud</t>
  </si>
  <si>
    <t>Yawal</t>
  </si>
  <si>
    <t>Yevla</t>
  </si>
  <si>
    <t>Imphal</t>
  </si>
  <si>
    <t>Lilong</t>
  </si>
  <si>
    <t>Mayang Imphal</t>
  </si>
  <si>
    <t>Nongstoin</t>
  </si>
  <si>
    <t>Tura</t>
  </si>
  <si>
    <t>Barbil</t>
  </si>
  <si>
    <t>Bargarh</t>
  </si>
  <si>
    <t>Berhampur</t>
  </si>
  <si>
    <t>Bhawanipatna</t>
  </si>
  <si>
    <t>Bhubaneswar</t>
  </si>
  <si>
    <t>Byasanagar</t>
  </si>
  <si>
    <t>Gunupur</t>
  </si>
  <si>
    <t>Jatani</t>
  </si>
  <si>
    <t>Kendujhar</t>
  </si>
  <si>
    <t>Nabarangapur</t>
  </si>
  <si>
    <t>Paradip</t>
  </si>
  <si>
    <t>Parlakhemundi</t>
  </si>
  <si>
    <t>Pattamundai</t>
  </si>
  <si>
    <t>Phulabani</t>
  </si>
  <si>
    <t>Rairangpur</t>
  </si>
  <si>
    <t>Rajagangapur</t>
  </si>
  <si>
    <t>Raurkela Industrial Township</t>
  </si>
  <si>
    <t>Rourkela</t>
  </si>
  <si>
    <t>Soro</t>
  </si>
  <si>
    <t>Sunabeda</t>
  </si>
  <si>
    <t>Talcher</t>
  </si>
  <si>
    <t>Tarbha</t>
  </si>
  <si>
    <t>Titlagarh</t>
  </si>
  <si>
    <t>Ozhukarai</t>
  </si>
  <si>
    <t>Dhuri</t>
  </si>
  <si>
    <t>Firozpur Cantt.</t>
  </si>
  <si>
    <t>Gobindgarh</t>
  </si>
  <si>
    <t>Jagraon</t>
  </si>
  <si>
    <t>Jalandhar Cantt.</t>
  </si>
  <si>
    <t>Kharar</t>
  </si>
  <si>
    <t>Kot Kapura</t>
  </si>
  <si>
    <t>Longowal</t>
  </si>
  <si>
    <t>Malout</t>
  </si>
  <si>
    <t>Morinda, India</t>
  </si>
  <si>
    <t>Mukerian</t>
  </si>
  <si>
    <t>Muktsar</t>
  </si>
  <si>
    <t>Nabha</t>
  </si>
  <si>
    <t>Nakodar</t>
  </si>
  <si>
    <t>Nangal</t>
  </si>
  <si>
    <t>Naura</t>
  </si>
  <si>
    <t>Nawanshahr</t>
  </si>
  <si>
    <t>Patti</t>
  </si>
  <si>
    <t>Pattran</t>
  </si>
  <si>
    <t>Phagwara</t>
  </si>
  <si>
    <t>Phillaur</t>
  </si>
  <si>
    <t>Qadian</t>
  </si>
  <si>
    <t>Raikot</t>
  </si>
  <si>
    <t>Rajpura</t>
  </si>
  <si>
    <t>Rampura Phul</t>
  </si>
  <si>
    <t>Samana</t>
  </si>
  <si>
    <t>Sirhind Fatehgarh Sahib</t>
  </si>
  <si>
    <t>Sujanpur</t>
  </si>
  <si>
    <t>Sunam</t>
  </si>
  <si>
    <t>Talwara</t>
  </si>
  <si>
    <t>Urmar Tanda</t>
  </si>
  <si>
    <t>Zira</t>
  </si>
  <si>
    <t>Zirakpur</t>
  </si>
  <si>
    <t>Bhaiseena</t>
  </si>
  <si>
    <t>Bhusawar</t>
  </si>
  <si>
    <t>Degana</t>
  </si>
  <si>
    <t>Lachhmangarh</t>
  </si>
  <si>
    <t>Ladnu</t>
  </si>
  <si>
    <t>Lakheri</t>
  </si>
  <si>
    <t>Lalsot</t>
  </si>
  <si>
    <t>Losal</t>
  </si>
  <si>
    <t>Makrana</t>
  </si>
  <si>
    <t>Malpura</t>
  </si>
  <si>
    <t>Mandalgarh</t>
  </si>
  <si>
    <t>Mandawa</t>
  </si>
  <si>
    <t>Merta City</t>
  </si>
  <si>
    <t>Mount Abu</t>
  </si>
  <si>
    <t>Nadbai</t>
  </si>
  <si>
    <t>Nagar</t>
  </si>
  <si>
    <t>Nasirabad</t>
  </si>
  <si>
    <t>Nathdwara</t>
  </si>
  <si>
    <t>Neem-Ka-Thana</t>
  </si>
  <si>
    <t>Nimbahera</t>
  </si>
  <si>
    <t>Niwai</t>
  </si>
  <si>
    <t>Nohar</t>
  </si>
  <si>
    <t>Phalodi</t>
  </si>
  <si>
    <t>Phulera</t>
  </si>
  <si>
    <t>Pilani</t>
  </si>
  <si>
    <t>Pilibanga</t>
  </si>
  <si>
    <t>Pindwara</t>
  </si>
  <si>
    <t>Pipar City</t>
  </si>
  <si>
    <t>Prantij</t>
  </si>
  <si>
    <t>Raisinghnagar</t>
  </si>
  <si>
    <t>Rajakhera</t>
  </si>
  <si>
    <t>Rajaldesar</t>
  </si>
  <si>
    <t>Rajgarh (Alwar)</t>
  </si>
  <si>
    <t>Rajgarh (Churu)</t>
  </si>
  <si>
    <t>Ramganj Mandi</t>
  </si>
  <si>
    <t>Ramngarh</t>
  </si>
  <si>
    <t>Ratangarh</t>
  </si>
  <si>
    <t>Rawatbhata</t>
  </si>
  <si>
    <t>Rawatsar</t>
  </si>
  <si>
    <t>Reengus</t>
  </si>
  <si>
    <t>Sadri</t>
  </si>
  <si>
    <t>Sadulshahar</t>
  </si>
  <si>
    <t>Sagwara</t>
  </si>
  <si>
    <t>Sambhar</t>
  </si>
  <si>
    <t>Sanchore</t>
  </si>
  <si>
    <t>Sangaria</t>
  </si>
  <si>
    <t>Sardarshahar</t>
  </si>
  <si>
    <t>Shahpura</t>
  </si>
  <si>
    <t>Sheoganj</t>
  </si>
  <si>
    <t>Sojat</t>
  </si>
  <si>
    <t>Sri Ganganagar</t>
  </si>
  <si>
    <t>Sri Madhopur</t>
  </si>
  <si>
    <t>Sujangarh</t>
  </si>
  <si>
    <t>Sumerpur</t>
  </si>
  <si>
    <t>Suratgarh</t>
  </si>
  <si>
    <t>Takhatgarh</t>
  </si>
  <si>
    <t>Taranagar</t>
  </si>
  <si>
    <t>Todabhim</t>
  </si>
  <si>
    <t>Todaraisingh</t>
  </si>
  <si>
    <t>Udaipurwati</t>
  </si>
  <si>
    <t>Vijainagar, Ajmer</t>
  </si>
  <si>
    <t>Gangtok</t>
  </si>
  <si>
    <t>Arakkonam</t>
  </si>
  <si>
    <t>Aruppukkottai</t>
  </si>
  <si>
    <t>Chidambaram</t>
  </si>
  <si>
    <t>Gobichettipalayam</t>
  </si>
  <si>
    <t>Karaikudi</t>
  </si>
  <si>
    <t>Kumbakonam</t>
  </si>
  <si>
    <t>Lalgudi</t>
  </si>
  <si>
    <t>Manachanallur</t>
  </si>
  <si>
    <t>Nagercoil</t>
  </si>
  <si>
    <t>Namagiripettai</t>
  </si>
  <si>
    <t>Nandivaram-Guduvancheri</t>
  </si>
  <si>
    <t>Nanjikottai</t>
  </si>
  <si>
    <t>Natham</t>
  </si>
  <si>
    <t>Nellikuppam</t>
  </si>
  <si>
    <t>O' Valley</t>
  </si>
  <si>
    <t>Oddanchatram</t>
  </si>
  <si>
    <t>P.N.Patti</t>
  </si>
  <si>
    <t>Pacode</t>
  </si>
  <si>
    <t>Padmanabhapuram</t>
  </si>
  <si>
    <t>Palani</t>
  </si>
  <si>
    <t>Palladam</t>
  </si>
  <si>
    <t>Pallapatti</t>
  </si>
  <si>
    <t>Pallikonda</t>
  </si>
  <si>
    <t>Panagudi</t>
  </si>
  <si>
    <t>Panruti</t>
  </si>
  <si>
    <t>Paramakudi</t>
  </si>
  <si>
    <t>Parangipettai</t>
  </si>
  <si>
    <t>Pattukkottai</t>
  </si>
  <si>
    <t>Peravurani</t>
  </si>
  <si>
    <t>Periyakulam</t>
  </si>
  <si>
    <t>Periyasemur</t>
  </si>
  <si>
    <t>Pernampattu</t>
  </si>
  <si>
    <t>Polur</t>
  </si>
  <si>
    <t>Ponneri</t>
  </si>
  <si>
    <t>Pudupattinam</t>
  </si>
  <si>
    <t>Puliyankudi</t>
  </si>
  <si>
    <t>Punjaipugalur</t>
  </si>
  <si>
    <t>Rameshwaram</t>
  </si>
  <si>
    <t>Rasipuram</t>
  </si>
  <si>
    <t>Sankarankovil</t>
  </si>
  <si>
    <t>Sankari</t>
  </si>
  <si>
    <t>Sathyamangalam</t>
  </si>
  <si>
    <t>Sattur</t>
  </si>
  <si>
    <t>Shenkottai</t>
  </si>
  <si>
    <t>Sholavandan</t>
  </si>
  <si>
    <t>Sholingur</t>
  </si>
  <si>
    <t>Sirkali</t>
  </si>
  <si>
    <t>Sivagiri</t>
  </si>
  <si>
    <t>Srivilliputhur</t>
  </si>
  <si>
    <t>Surandai</t>
  </si>
  <si>
    <t>Suriyampalayam</t>
  </si>
  <si>
    <t>Tenkasi</t>
  </si>
  <si>
    <t>Thammampatti</t>
  </si>
  <si>
    <t>Tharamangalam</t>
  </si>
  <si>
    <t>Tharangambadi</t>
  </si>
  <si>
    <t>Theni Allinagaram</t>
  </si>
  <si>
    <t>Thirumangalam</t>
  </si>
  <si>
    <t>Thirupuvanam</t>
  </si>
  <si>
    <t>Thiruthuraipoondi</t>
  </si>
  <si>
    <t>Thiruvallur</t>
  </si>
  <si>
    <t>Thiruvarur</t>
  </si>
  <si>
    <t>Thuraiyur</t>
  </si>
  <si>
    <t>Tindivanam</t>
  </si>
  <si>
    <t>Tiruchendur</t>
  </si>
  <si>
    <t>Tiruchengode</t>
  </si>
  <si>
    <t>Tirukalukundram</t>
  </si>
  <si>
    <t>Tirukkoyilur</t>
  </si>
  <si>
    <t>Tirupathur</t>
  </si>
  <si>
    <t>Tiruppur</t>
  </si>
  <si>
    <t>Tiruttani</t>
  </si>
  <si>
    <t>Tiruvethipuram</t>
  </si>
  <si>
    <t>Tittakudi</t>
  </si>
  <si>
    <t>Udhagamandalam</t>
  </si>
  <si>
    <t>Udumalaipettai</t>
  </si>
  <si>
    <t>Unnamalaikadai</t>
  </si>
  <si>
    <t>Usilampatti</t>
  </si>
  <si>
    <t>Uthamapalayam</t>
  </si>
  <si>
    <t>Uthiramerur</t>
  </si>
  <si>
    <t>Vadakkuvalliyur</t>
  </si>
  <si>
    <t>Vadalur</t>
  </si>
  <si>
    <t>Vadipatti</t>
  </si>
  <si>
    <t>Valparai</t>
  </si>
  <si>
    <t>Vandavasi</t>
  </si>
  <si>
    <t>Vaniyambadi</t>
  </si>
  <si>
    <t>Vedaranyam</t>
  </si>
  <si>
    <t>Vellakoil</t>
  </si>
  <si>
    <t>Vikramasingapuram</t>
  </si>
  <si>
    <t>Virudhachalam</t>
  </si>
  <si>
    <t>Viswanatham</t>
  </si>
  <si>
    <t>Bellampalle</t>
  </si>
  <si>
    <t>Bhadrachalam</t>
  </si>
  <si>
    <t>Bhainsa</t>
  </si>
  <si>
    <t>Bhongir</t>
  </si>
  <si>
    <t>Bodhan</t>
  </si>
  <si>
    <t>Farooqnagar</t>
  </si>
  <si>
    <t>Gadwal</t>
  </si>
  <si>
    <t>Kagaznagar</t>
  </si>
  <si>
    <t>Koratla</t>
  </si>
  <si>
    <t>Kothagudem</t>
  </si>
  <si>
    <t>Kyathampalle</t>
  </si>
  <si>
    <t>Mandamarri</t>
  </si>
  <si>
    <t>Manuguru</t>
  </si>
  <si>
    <t>Miryalaguda</t>
  </si>
  <si>
    <t>Narayanpet</t>
  </si>
  <si>
    <t>Palwancha</t>
  </si>
  <si>
    <t>Ramagundam</t>
  </si>
  <si>
    <t>Sadasivpet</t>
  </si>
  <si>
    <t>Secunderabad</t>
  </si>
  <si>
    <t>Sircilla</t>
  </si>
  <si>
    <t>Tandur</t>
  </si>
  <si>
    <t>Warangal</t>
  </si>
  <si>
    <t>Yellandu</t>
  </si>
  <si>
    <t>Agartala</t>
  </si>
  <si>
    <t>Belonia</t>
  </si>
  <si>
    <t>Dharmanagar</t>
  </si>
  <si>
    <t>Kailasahar</t>
  </si>
  <si>
    <t>Achhnera</t>
  </si>
  <si>
    <t>Kalpi</t>
  </si>
  <si>
    <t>Kanpur</t>
  </si>
  <si>
    <t>Khora</t>
  </si>
  <si>
    <t>Kumarganj</t>
  </si>
  <si>
    <t>Laharpur</t>
  </si>
  <si>
    <t>Lal Gopalganj Nindaura</t>
  </si>
  <si>
    <t>Lar</t>
  </si>
  <si>
    <t>Loni</t>
  </si>
  <si>
    <t>Murwara</t>
  </si>
  <si>
    <t>Nagina</t>
  </si>
  <si>
    <t>Najibabad</t>
  </si>
  <si>
    <t>Nakur</t>
  </si>
  <si>
    <t>Nanpara</t>
  </si>
  <si>
    <t>Naraura</t>
  </si>
  <si>
    <t>Naugawan Sadat</t>
  </si>
  <si>
    <t>Nautanwa</t>
  </si>
  <si>
    <t>Nawabganj</t>
  </si>
  <si>
    <t>Nehtaur</t>
  </si>
  <si>
    <t>Noida</t>
  </si>
  <si>
    <t>Noorpur</t>
  </si>
  <si>
    <t>Obra</t>
  </si>
  <si>
    <t>Orai</t>
  </si>
  <si>
    <t>Padrauna</t>
  </si>
  <si>
    <t>Palia Kalan</t>
  </si>
  <si>
    <t>Parasi</t>
  </si>
  <si>
    <t>Phulpur</t>
  </si>
  <si>
    <t>Pihani</t>
  </si>
  <si>
    <t>Pilkhuwa</t>
  </si>
  <si>
    <t>Powayan</t>
  </si>
  <si>
    <t>Pukhrayan</t>
  </si>
  <si>
    <t>Puranpur</t>
  </si>
  <si>
    <t>Purquazi</t>
  </si>
  <si>
    <t>Purwa</t>
  </si>
  <si>
    <t>Rae Bareli</t>
  </si>
  <si>
    <t>Rajesultanpur</t>
  </si>
  <si>
    <t>Rampur Maniharan</t>
  </si>
  <si>
    <t>Rasra</t>
  </si>
  <si>
    <t>Rath</t>
  </si>
  <si>
    <t>Renukoot</t>
  </si>
  <si>
    <t>Reoti</t>
  </si>
  <si>
    <t>Robertsganj</t>
  </si>
  <si>
    <t>Rudauli</t>
  </si>
  <si>
    <t>Rudrapur</t>
  </si>
  <si>
    <t>Sadabad</t>
  </si>
  <si>
    <t>Safipur</t>
  </si>
  <si>
    <t>Sahaspur</t>
  </si>
  <si>
    <t>Sahaswan</t>
  </si>
  <si>
    <t>Sahawar</t>
  </si>
  <si>
    <t>Sahjanwa</t>
  </si>
  <si>
    <t>Saidpur</t>
  </si>
  <si>
    <t>Samdhan</t>
  </si>
  <si>
    <t>Samthar</t>
  </si>
  <si>
    <t>Sandi</t>
  </si>
  <si>
    <t>Sandila</t>
  </si>
  <si>
    <t>Sardhana</t>
  </si>
  <si>
    <t>Sarsawa</t>
  </si>
  <si>
    <t>Seohara</t>
  </si>
  <si>
    <t>Shahabad, Hardoi</t>
  </si>
  <si>
    <t>Shahabad, Rampur</t>
  </si>
  <si>
    <t>Shahganj</t>
  </si>
  <si>
    <t>Shamsabad, Agra</t>
  </si>
  <si>
    <t>Shamsabad, Farrukhabad</t>
  </si>
  <si>
    <t>Sherkot</t>
  </si>
  <si>
    <t>Shikarpur, Bulandshahr</t>
  </si>
  <si>
    <t>Shikohabad</t>
  </si>
  <si>
    <t>Shishgarh</t>
  </si>
  <si>
    <t>Siana</t>
  </si>
  <si>
    <t>Sikanderpur</t>
  </si>
  <si>
    <t>Sikandra Rao</t>
  </si>
  <si>
    <t>Sikandrabad</t>
  </si>
  <si>
    <t>Sirsaganj</t>
  </si>
  <si>
    <t>Soron</t>
  </si>
  <si>
    <t>Suar</t>
  </si>
  <si>
    <t>Tanda</t>
  </si>
  <si>
    <t>Thakurdwara</t>
  </si>
  <si>
    <t>Thana Bhawan</t>
  </si>
  <si>
    <t>Tilhar</t>
  </si>
  <si>
    <t>Tirwaganj</t>
  </si>
  <si>
    <t>Tulsipur</t>
  </si>
  <si>
    <t>Tundla</t>
  </si>
  <si>
    <t>Ujhani</t>
  </si>
  <si>
    <t>Utraula</t>
  </si>
  <si>
    <t>Vrindavan</t>
  </si>
  <si>
    <t>Warhapur</t>
  </si>
  <si>
    <t>Zaidpur</t>
  </si>
  <si>
    <t>Zamania</t>
  </si>
  <si>
    <t>Badrinath</t>
  </si>
  <si>
    <t>Bajpur</t>
  </si>
  <si>
    <t>Barkot</t>
  </si>
  <si>
    <t>Bhimtal</t>
  </si>
  <si>
    <t>Bhowali</t>
  </si>
  <si>
    <t>Chamoli Gopeshwar</t>
  </si>
  <si>
    <t>Devprayag</t>
  </si>
  <si>
    <t>Dharchula</t>
  </si>
  <si>
    <t>Didihat</t>
  </si>
  <si>
    <t>Dineshpur</t>
  </si>
  <si>
    <t>Dogadda</t>
  </si>
  <si>
    <t>Doiwala</t>
  </si>
  <si>
    <t>Dwarahat</t>
  </si>
  <si>
    <t>Gadarpur</t>
  </si>
  <si>
    <t>Gangotri</t>
  </si>
  <si>
    <t>Gochar</t>
  </si>
  <si>
    <t>Herbertpur</t>
  </si>
  <si>
    <t>Jaspur</t>
  </si>
  <si>
    <t>Jhabrera</t>
  </si>
  <si>
    <t>Joshimath</t>
  </si>
  <si>
    <t>Kaladhungi</t>
  </si>
  <si>
    <t>Karnaprayag</t>
  </si>
  <si>
    <t>Kedarnath</t>
  </si>
  <si>
    <t>Kela Khera</t>
  </si>
  <si>
    <t>Khatima</t>
  </si>
  <si>
    <t>Kichha</t>
  </si>
  <si>
    <t>Kirtinagar</t>
  </si>
  <si>
    <t>Kotdwar</t>
  </si>
  <si>
    <t>Laksar</t>
  </si>
  <si>
    <t>Lalkuan</t>
  </si>
  <si>
    <t>Landhaura</t>
  </si>
  <si>
    <t>Lohaghat</t>
  </si>
  <si>
    <t>Mahua Dabra Haripura</t>
  </si>
  <si>
    <t>Mahua Kheraganj</t>
  </si>
  <si>
    <t>Manglaur</t>
  </si>
  <si>
    <t>Muni Ki Reti</t>
  </si>
  <si>
    <t>Mussoorie</t>
  </si>
  <si>
    <t>Nagla</t>
  </si>
  <si>
    <t>Nandaprayag</t>
  </si>
  <si>
    <t>Narendranagar</t>
  </si>
  <si>
    <t>Pauri</t>
  </si>
  <si>
    <t>Rishikesh</t>
  </si>
  <si>
    <t>Shaktigarh</t>
  </si>
  <si>
    <t>Sitarganj</t>
  </si>
  <si>
    <t>Srinagar, Uttarakhand</t>
  </si>
  <si>
    <t>Tanakpur</t>
  </si>
  <si>
    <t>Tehri</t>
  </si>
  <si>
    <t>Vikasnagar</t>
  </si>
  <si>
    <t>Adra</t>
  </si>
  <si>
    <t>Arambagh</t>
  </si>
  <si>
    <t>Asansol</t>
  </si>
  <si>
    <t>Baharampur</t>
  </si>
  <si>
    <t>Bally</t>
  </si>
  <si>
    <t>Baranagar</t>
  </si>
  <si>
    <t>Barasat</t>
  </si>
  <si>
    <t>Bardhaman</t>
  </si>
  <si>
    <t>Bhatpara</t>
  </si>
  <si>
    <t>Bidhan Nagar</t>
  </si>
  <si>
    <t>Chandpara</t>
  </si>
  <si>
    <t>Durgapur</t>
  </si>
  <si>
    <t>English Bazar</t>
  </si>
  <si>
    <t>Gangarampur</t>
  </si>
  <si>
    <t>Gopalpur</t>
  </si>
  <si>
    <t>Haldia</t>
  </si>
  <si>
    <t>Howrah (city area)</t>
  </si>
  <si>
    <t>Hugli and Chinsurah</t>
  </si>
  <si>
    <t>Kamarhati</t>
  </si>
  <si>
    <t>Kharagpur</t>
  </si>
  <si>
    <t>Kulti</t>
  </si>
  <si>
    <t>Madhyamgram</t>
  </si>
  <si>
    <t>Maheshtala</t>
  </si>
  <si>
    <t>Mainaguri</t>
  </si>
  <si>
    <t>Malda</t>
  </si>
  <si>
    <t>Mathabhanga</t>
  </si>
  <si>
    <t>Medinipur</t>
  </si>
  <si>
    <t>Memari</t>
  </si>
  <si>
    <t>Monoharpur</t>
  </si>
  <si>
    <t>Naihati</t>
  </si>
  <si>
    <t>North Dumdum</t>
  </si>
  <si>
    <t>Panchla</t>
  </si>
  <si>
    <t>Pandua</t>
  </si>
  <si>
    <t>Panihati</t>
  </si>
  <si>
    <t>Paschim Punropara</t>
  </si>
  <si>
    <t>Raghunathpur</t>
  </si>
  <si>
    <t>Raiganj</t>
  </si>
  <si>
    <t>Rajpur Sonarpur</t>
  </si>
  <si>
    <t>Rampurhat</t>
  </si>
  <si>
    <t>Sainthia</t>
  </si>
  <si>
    <t>Serampore</t>
  </si>
  <si>
    <t>Siliguri</t>
  </si>
  <si>
    <t>Sonamukhi</t>
  </si>
  <si>
    <t>South Dumdum</t>
  </si>
  <si>
    <t>Srirampore</t>
  </si>
  <si>
    <t>Suri</t>
  </si>
  <si>
    <t>Taki</t>
  </si>
  <si>
    <t>Tamluk</t>
  </si>
  <si>
    <t>Tarakeswar</t>
  </si>
  <si>
    <t>Uluberia</t>
  </si>
  <si>
    <t>SP Registered</t>
  </si>
  <si>
    <t>Already Registered</t>
  </si>
  <si>
    <t>CB Presentation Done</t>
  </si>
  <si>
    <t>Ringing</t>
  </si>
  <si>
    <t>Call Disconnected</t>
  </si>
  <si>
    <t>Call Back</t>
  </si>
  <si>
    <t>Not Interested</t>
  </si>
  <si>
    <t>Wrong Number</t>
  </si>
  <si>
    <t>Switched Off</t>
  </si>
  <si>
    <t>Busy</t>
  </si>
  <si>
    <t>Short Hang-up</t>
  </si>
  <si>
    <t>Notes</t>
  </si>
  <si>
    <t>Action</t>
  </si>
  <si>
    <t>Action Date</t>
  </si>
  <si>
    <t>Action By</t>
  </si>
  <si>
    <t>Resolved</t>
  </si>
  <si>
    <t>Sentiment</t>
  </si>
  <si>
    <t>Customer is Interested and Needs ___ Packets. Delivery to ____ by DD/MM/YYYY between HH:MM - HH:MM.</t>
  </si>
  <si>
    <t>Customer said that he/she is already registered and got ___ Packets. Updated his/her details.</t>
  </si>
  <si>
    <t>Explained all the Scheme details to Customer. Ccustomer is interested and wanted to Callback by DD/MM/YYYY between HH:MM - HH:MM.</t>
  </si>
  <si>
    <t>Called the Customer's Primary/Secondary/Tertiary Number and it is Ringing.</t>
  </si>
  <si>
    <t>Customer hanged-up the Call in between the Conversation.</t>
  </si>
  <si>
    <t>Customer is Busy and wanted to Callback by DD/MM/YYYY between HH:MM - HH:MM.</t>
  </si>
  <si>
    <t>Customer is Not Interested as _______.</t>
  </si>
  <si>
    <t>Called the Customer's Primary/Secondary/Tertiary Number and it is Wrong Number.</t>
  </si>
  <si>
    <t>Called the Customer's Primary/Secondary/Tertiary Number and it is Switched Off.</t>
  </si>
  <si>
    <t>Called the Customer's Primary/Secondary/Tertiary Number and it is Busy.</t>
  </si>
  <si>
    <t>Called the Customer's Primary/Secondary/Tertiary Number and hanged-up the Call.</t>
  </si>
  <si>
    <t>Call Back Date</t>
  </si>
  <si>
    <t>Call Back Time</t>
  </si>
  <si>
    <t>ddd</t>
  </si>
  <si>
    <t>fffff</t>
  </si>
  <si>
    <t>dsfsdf</t>
  </si>
  <si>
    <t>sdfsdfs</t>
  </si>
  <si>
    <t>sdfdsfsdf</t>
  </si>
  <si>
    <t>dsfsdfsdf</t>
  </si>
  <si>
    <t>erewrwer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</si>
</sst>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9" fontId="6" fillId="0" borderId="0" xfId="0" applyNumberFormat="1" applyFont="1" applyAlignment="1">
      <alignment vertical="center"/>
    </xf>
    <xf numFmtId="9" fontId="6" fillId="0" borderId="0" xfId="1" applyFont="1" applyAlignment="1">
      <alignment vertic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 sz="1000" b="1">
                <a:solidFill>
                  <a:sysClr val="windowText" lastClr="000000"/>
                </a:solidFill>
              </a:rPr>
              <a:t>Completed Vs Pending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76000368375004"/>
          <c:y val="0.18773709230402147"/>
          <c:w val="0.63922272873785513"/>
          <c:h val="0.7643852210781344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6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62-46FD-8182-73E40181435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6350" cap="flat" cmpd="sng" algn="ctr">
                <a:solidFill>
                  <a:schemeClr val="accent4"/>
                </a:solidFill>
                <a:prstDash val="solid"/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62-46FD-8182-73E4018143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Entry!$F$28:$F$29</c:f>
              <c:strCache>
                <c:ptCount val="2"/>
                <c:pt idx="0">
                  <c:v>Completed %</c:v>
                </c:pt>
                <c:pt idx="1">
                  <c:v>Pending %</c:v>
                </c:pt>
              </c:strCache>
            </c:strRef>
          </c:cat>
          <c:val>
            <c:numRef>
              <c:f>Entry!$G$28:$G$29</c:f>
              <c:numCache>
                <c:formatCode>0%</c:formatCode>
                <c:ptCount val="2"/>
                <c:pt idx="0">
                  <c:v>0.42000000000000004</c:v>
                </c:pt>
                <c:pt idx="1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6FD-8182-73E401814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885825</xdr:colOff>
      <xdr:row>25</xdr:row>
      <xdr:rowOff>19050</xdr:rowOff>
    </xdr:from>
    <xdr:to>
      <xdr:col>1</xdr:col>
      <xdr:colOff>1038225</xdr:colOff>
      <xdr:row>25</xdr:row>
      <xdr:rowOff>171450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33500" y="3714750"/>
          <a:ext cx="152400" cy="152400"/>
        </a:xfrm>
        <a:prstGeom prst="flowChartConnector">
          <a:avLst/>
        </a:prstGeom>
        <a:solidFill>
          <a:schemeClr val="accent6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12700"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552450</xdr:colOff>
      <xdr:row>25</xdr:row>
      <xdr:rowOff>19050</xdr:rowOff>
    </xdr:from>
    <xdr:to>
      <xdr:col>2</xdr:col>
      <xdr:colOff>704850</xdr:colOff>
      <xdr:row>25</xdr:row>
      <xdr:rowOff>171450</xdr:rowOff>
    </xdr:to>
    <xdr:sp macro="" textlink="">
      <xdr:nvSpPr>
        <xdr:cNvPr id="3" name="Flowchart: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181225" y="3714750"/>
          <a:ext cx="152400" cy="152400"/>
        </a:xfrm>
        <a:prstGeom prst="flowChartConnector">
          <a:avLst/>
        </a:prstGeom>
        <a:solidFill>
          <a:schemeClr val="accent6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12700"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2</xdr:col>
      <xdr:colOff>1400175</xdr:colOff>
      <xdr:row>25</xdr:row>
      <xdr:rowOff>19050</xdr:rowOff>
    </xdr:from>
    <xdr:to>
      <xdr:col>2</xdr:col>
      <xdr:colOff>1552575</xdr:colOff>
      <xdr:row>25</xdr:row>
      <xdr:rowOff>171450</xdr:rowOff>
    </xdr:to>
    <xdr:sp macro="" textlink="">
      <xdr:nvSpPr>
        <xdr:cNvPr id="4" name="Flowchart: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028950" y="3714750"/>
          <a:ext cx="152400" cy="152400"/>
        </a:xfrm>
        <a:prstGeom prst="flowChartConnector">
          <a:avLst/>
        </a:prstGeom>
        <a:solidFill>
          <a:schemeClr val="accent6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12700"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3</xdr:col>
      <xdr:colOff>533400</xdr:colOff>
      <xdr:row>25</xdr:row>
      <xdr:rowOff>19050</xdr:rowOff>
    </xdr:from>
    <xdr:to>
      <xdr:col>3</xdr:col>
      <xdr:colOff>685800</xdr:colOff>
      <xdr:row>25</xdr:row>
      <xdr:rowOff>171450</xdr:rowOff>
    </xdr:to>
    <xdr:sp macro="" textlink="">
      <xdr:nvSpPr>
        <xdr:cNvPr id="5" name="Flowchart: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76675" y="3714750"/>
          <a:ext cx="152400" cy="152400"/>
        </a:xfrm>
        <a:prstGeom prst="flowChartConnector">
          <a:avLst/>
        </a:prstGeom>
        <a:solidFill>
          <a:schemeClr val="accent6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12700">
              <a:solidFill>
                <a:sysClr val="windowText" lastClr="000000"/>
              </a:solidFill>
            </a:ln>
          </a:endParaRPr>
        </a:p>
      </xdr:txBody>
    </xdr:sp>
    <xdr:clientData/>
  </xdr:twoCellAnchor>
  <xdr:twoCellAnchor>
    <xdr:from>
      <xdr:col>4</xdr:col>
      <xdr:colOff>200025</xdr:colOff>
      <xdr:row>25</xdr:row>
      <xdr:rowOff>19050</xdr:rowOff>
    </xdr:from>
    <xdr:to>
      <xdr:col>4</xdr:col>
      <xdr:colOff>352425</xdr:colOff>
      <xdr:row>25</xdr:row>
      <xdr:rowOff>171450</xdr:rowOff>
    </xdr:to>
    <xdr:sp macro="" textlink="">
      <xdr:nvSpPr>
        <xdr:cNvPr id="6" name="Flowchart: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724400" y="3714750"/>
          <a:ext cx="152400" cy="152400"/>
        </a:xfrm>
        <a:prstGeom prst="flowChartConnector">
          <a:avLst/>
        </a:prstGeom>
        <a:solidFill>
          <a:schemeClr val="accent6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ln w="12700">
              <a:solidFill>
                <a:sysClr val="windowText" lastClr="000000"/>
              </a:solidFill>
            </a:ln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4</xdr:row>
          <xdr:rowOff>106680</xdr:rowOff>
        </xdr:from>
        <xdr:to>
          <xdr:col>9</xdr:col>
          <xdr:colOff>83820</xdr:colOff>
          <xdr:row>10</xdr:row>
          <xdr:rowOff>68580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11</xdr:row>
          <xdr:rowOff>175260</xdr:rowOff>
        </xdr:from>
        <xdr:to>
          <xdr:col>9</xdr:col>
          <xdr:colOff>83820</xdr:colOff>
          <xdr:row>21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Demographics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1645920</xdr:colOff>
          <xdr:row>21</xdr:row>
          <xdr:rowOff>114300</xdr:rowOff>
        </xdr:from>
        <xdr:to>
          <xdr:col>9</xdr:col>
          <xdr:colOff>83820</xdr:colOff>
          <xdr:row>29</xdr:row>
          <xdr:rowOff>76200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Performance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21</xdr:row>
          <xdr:rowOff>114300</xdr:rowOff>
        </xdr:from>
        <xdr:to>
          <xdr:col>4</xdr:col>
          <xdr:colOff>1607820</xdr:colOff>
          <xdr:row>29</xdr:row>
          <xdr:rowOff>76200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Insight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1038225</xdr:colOff>
      <xdr:row>25</xdr:row>
      <xdr:rowOff>95250</xdr:rowOff>
    </xdr:from>
    <xdr:to>
      <xdr:col>2</xdr:col>
      <xdr:colOff>552450</xdr:colOff>
      <xdr:row>25</xdr:row>
      <xdr:rowOff>95250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>
          <a:stCxn id="2" idx="6"/>
          <a:endCxn id="3" idx="2"/>
        </xdr:cNvCxnSpPr>
      </xdr:nvCxnSpPr>
      <xdr:spPr>
        <a:xfrm>
          <a:off x="1485900" y="3790950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704850</xdr:colOff>
      <xdr:row>25</xdr:row>
      <xdr:rowOff>95250</xdr:rowOff>
    </xdr:from>
    <xdr:to>
      <xdr:col>2</xdr:col>
      <xdr:colOff>1400175</xdr:colOff>
      <xdr:row>25</xdr:row>
      <xdr:rowOff>95250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stCxn id="3" idx="6"/>
          <a:endCxn id="4" idx="2"/>
        </xdr:cNvCxnSpPr>
      </xdr:nvCxnSpPr>
      <xdr:spPr>
        <a:xfrm>
          <a:off x="2333625" y="3790950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1552575</xdr:colOff>
      <xdr:row>25</xdr:row>
      <xdr:rowOff>95250</xdr:rowOff>
    </xdr:from>
    <xdr:to>
      <xdr:col>3</xdr:col>
      <xdr:colOff>533400</xdr:colOff>
      <xdr:row>25</xdr:row>
      <xdr:rowOff>95250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>
          <a:stCxn id="4" idx="6"/>
          <a:endCxn id="5" idx="2"/>
        </xdr:cNvCxnSpPr>
      </xdr:nvCxnSpPr>
      <xdr:spPr>
        <a:xfrm>
          <a:off x="3181350" y="3790950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685800</xdr:colOff>
      <xdr:row>25</xdr:row>
      <xdr:rowOff>95250</xdr:rowOff>
    </xdr:from>
    <xdr:to>
      <xdr:col>4</xdr:col>
      <xdr:colOff>200025</xdr:colOff>
      <xdr:row>25</xdr:row>
      <xdr:rowOff>95250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5" idx="6"/>
          <a:endCxn id="6" idx="2"/>
        </xdr:cNvCxnSpPr>
      </xdr:nvCxnSpPr>
      <xdr:spPr>
        <a:xfrm>
          <a:off x="4029075" y="3790950"/>
          <a:ext cx="6953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21</xdr:row>
      <xdr:rowOff>171450</xdr:rowOff>
    </xdr:from>
    <xdr:to>
      <xdr:col>9</xdr:col>
      <xdr:colOff>38100</xdr:colOff>
      <xdr:row>29</xdr:row>
      <xdr:rowOff>9525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314325</xdr:colOff>
      <xdr:row>23</xdr:row>
      <xdr:rowOff>9525</xdr:rowOff>
    </xdr:from>
    <xdr:ext cx="1309333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762000" y="3324225"/>
          <a:ext cx="1309333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>
              <a:solidFill>
                <a:schemeClr val="dk1"/>
              </a:solidFill>
            </a:rPr>
            <a:t>Demographic</a:t>
          </a:r>
          <a:r>
            <a:rPr lang="en-IN" sz="1100" b="1" baseline="0">
              <a:solidFill>
                <a:schemeClr val="dk1"/>
              </a:solidFill>
            </a:rPr>
            <a:t> Entry</a:t>
          </a:r>
          <a:endParaRPr lang="en-IN" sz="1100" b="1">
            <a:solidFill>
              <a:schemeClr val="dk1"/>
            </a:solidFill>
          </a:endParaRPr>
        </a:p>
      </xdr:txBody>
    </xdr:sp>
    <xdr:clientData/>
  </xdr:oneCellAnchor>
  <xdr:oneCellAnchor>
    <xdr:from>
      <xdr:col>2</xdr:col>
      <xdr:colOff>276225</xdr:colOff>
      <xdr:row>26</xdr:row>
      <xdr:rowOff>95250</xdr:rowOff>
    </xdr:from>
    <xdr:ext cx="706668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1905000" y="3981450"/>
          <a:ext cx="706668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>
              <a:solidFill>
                <a:schemeClr val="dk1"/>
              </a:solidFill>
            </a:rPr>
            <a:t>Payment</a:t>
          </a:r>
        </a:p>
      </xdr:txBody>
    </xdr:sp>
    <xdr:clientData/>
  </xdr:oneCellAnchor>
  <xdr:oneCellAnchor>
    <xdr:from>
      <xdr:col>2</xdr:col>
      <xdr:colOff>952500</xdr:colOff>
      <xdr:row>23</xdr:row>
      <xdr:rowOff>19050</xdr:rowOff>
    </xdr:from>
    <xdr:ext cx="1079783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581275" y="3333750"/>
          <a:ext cx="1079783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>
              <a:solidFill>
                <a:schemeClr val="dk1"/>
              </a:solidFill>
            </a:rPr>
            <a:t>Merch Delivery</a:t>
          </a:r>
        </a:p>
      </xdr:txBody>
    </xdr:sp>
    <xdr:clientData/>
  </xdr:oneCellAnchor>
  <xdr:oneCellAnchor>
    <xdr:from>
      <xdr:col>3</xdr:col>
      <xdr:colOff>257175</xdr:colOff>
      <xdr:row>26</xdr:row>
      <xdr:rowOff>85725</xdr:rowOff>
    </xdr:from>
    <xdr:ext cx="711670" cy="264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3600450" y="3971925"/>
          <a:ext cx="711670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>
              <a:solidFill>
                <a:schemeClr val="dk1"/>
              </a:solidFill>
            </a:rPr>
            <a:t>Referrals</a:t>
          </a:r>
        </a:p>
      </xdr:txBody>
    </xdr:sp>
    <xdr:clientData/>
  </xdr:oneCellAnchor>
  <xdr:oneCellAnchor>
    <xdr:from>
      <xdr:col>3</xdr:col>
      <xdr:colOff>1000125</xdr:colOff>
      <xdr:row>23</xdr:row>
      <xdr:rowOff>9525</xdr:rowOff>
    </xdr:from>
    <xdr:ext cx="915315" cy="26456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4343400" y="3324225"/>
          <a:ext cx="915315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1100" b="1">
              <a:solidFill>
                <a:schemeClr val="dk1"/>
              </a:solidFill>
            </a:rPr>
            <a:t>On Boarding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998220</xdr:colOff>
          <xdr:row>1</xdr:row>
          <xdr:rowOff>160020</xdr:rowOff>
        </xdr:from>
        <xdr:to>
          <xdr:col>8</xdr:col>
          <xdr:colOff>731520</xdr:colOff>
          <xdr:row>3</xdr:row>
          <xdr:rowOff>30480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1013460</xdr:colOff>
          <xdr:row>18</xdr:row>
          <xdr:rowOff>38100</xdr:rowOff>
        </xdr:from>
        <xdr:to>
          <xdr:col>8</xdr:col>
          <xdr:colOff>746760</xdr:colOff>
          <xdr:row>20</xdr:row>
          <xdr:rowOff>30480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830580</xdr:colOff>
          <xdr:row>1</xdr:row>
          <xdr:rowOff>160020</xdr:rowOff>
        </xdr:from>
        <xdr:to>
          <xdr:col>9</xdr:col>
          <xdr:colOff>30480</xdr:colOff>
          <xdr:row>3</xdr:row>
          <xdr:rowOff>30480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632460</xdr:colOff>
          <xdr:row>0</xdr:row>
          <xdr:rowOff>30480</xdr:rowOff>
        </xdr:from>
        <xdr:to>
          <xdr:col>9</xdr:col>
          <xdr:colOff>99060</xdr:colOff>
          <xdr:row>4</xdr:row>
          <xdr:rowOff>30480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Navigation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1706880</xdr:colOff>
          <xdr:row>1</xdr:row>
          <xdr:rowOff>160020</xdr:rowOff>
        </xdr:from>
        <xdr:to>
          <xdr:col>7</xdr:col>
          <xdr:colOff>906780</xdr:colOff>
          <xdr:row>3</xdr:row>
          <xdr:rowOff>30480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352425</xdr:colOff>
      <xdr:row>23</xdr:row>
      <xdr:rowOff>161925</xdr:rowOff>
    </xdr:from>
    <xdr:to>
      <xdr:col>6</xdr:col>
      <xdr:colOff>1571625</xdr:colOff>
      <xdr:row>27</xdr:row>
      <xdr:rowOff>161925</xdr:rowOff>
    </xdr:to>
    <xdr:sp macro="" textlink="$G$25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772400" y="3543300"/>
          <a:ext cx="1219200" cy="762000"/>
        </a:xfrm>
        <a:prstGeom prst="roundRect">
          <a:avLst>
            <a:gd name="adj" fmla="val 9167"/>
          </a:avLst>
        </a:prstGeom>
        <a:ln>
          <a:noFill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449BA08A-6B7F-43BF-B9F8-D3ADF09C495B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210</a:t>
          </a:fld>
          <a:endParaRPr lang="en-IN" sz="2800" b="0"/>
        </a:p>
      </xdr:txBody>
    </xdr:sp>
    <xdr:clientData/>
  </xdr:twoCellAnchor>
  <xdr:twoCellAnchor editAs="oneCell">
    <xdr:from>
      <xdr:col>6</xdr:col>
      <xdr:colOff>228599</xdr:colOff>
      <xdr:row>23</xdr:row>
      <xdr:rowOff>38099</xdr:rowOff>
    </xdr:from>
    <xdr:to>
      <xdr:col>6</xdr:col>
      <xdr:colOff>588599</xdr:colOff>
      <xdr:row>25</xdr:row>
      <xdr:rowOff>17099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4" y="3419474"/>
          <a:ext cx="360000" cy="3600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23</xdr:row>
      <xdr:rowOff>161925</xdr:rowOff>
    </xdr:from>
    <xdr:to>
      <xdr:col>6</xdr:col>
      <xdr:colOff>133350</xdr:colOff>
      <xdr:row>27</xdr:row>
      <xdr:rowOff>161925</xdr:rowOff>
    </xdr:to>
    <xdr:sp macro="" textlink="$G$26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6334125" y="3543300"/>
          <a:ext cx="1219200" cy="762000"/>
        </a:xfrm>
        <a:prstGeom prst="roundRect">
          <a:avLst>
            <a:gd name="adj" fmla="val 9167"/>
          </a:avLst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176FFE70-5285-4E02-906E-4FD4DDCF9394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290</a:t>
          </a:fld>
          <a:endParaRPr lang="en-IN" sz="6000" b="0"/>
        </a:p>
      </xdr:txBody>
    </xdr:sp>
    <xdr:clientData/>
  </xdr:twoCellAnchor>
  <xdr:twoCellAnchor editAs="oneCell">
    <xdr:from>
      <xdr:col>4</xdr:col>
      <xdr:colOff>1695450</xdr:colOff>
      <xdr:row>23</xdr:row>
      <xdr:rowOff>47625</xdr:rowOff>
    </xdr:from>
    <xdr:to>
      <xdr:col>5</xdr:col>
      <xdr:colOff>340950</xdr:colOff>
      <xdr:row>25</xdr:row>
      <xdr:rowOff>26625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3429000"/>
          <a:ext cx="360000" cy="360000"/>
        </a:xfrm>
        <a:prstGeom prst="rect">
          <a:avLst/>
        </a:prstGeom>
      </xdr:spPr>
    </xdr:pic>
    <xdr:clientData/>
  </xdr:twoCellAnchor>
  <xdr:twoCellAnchor>
    <xdr:from>
      <xdr:col>7</xdr:col>
      <xdr:colOff>76200</xdr:colOff>
      <xdr:row>23</xdr:row>
      <xdr:rowOff>161925</xdr:rowOff>
    </xdr:from>
    <xdr:to>
      <xdr:col>8</xdr:col>
      <xdr:colOff>114300</xdr:colOff>
      <xdr:row>27</xdr:row>
      <xdr:rowOff>161925</xdr:rowOff>
    </xdr:to>
    <xdr:sp macro="" textlink="$G$27">
      <xdr:nvSpPr>
        <xdr:cNvPr id="36" name="Rectangle: Rounded Corners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9210675" y="3543300"/>
          <a:ext cx="1219200" cy="762000"/>
        </a:xfrm>
        <a:prstGeom prst="roundRect">
          <a:avLst>
            <a:gd name="adj" fmla="val 9167"/>
          </a:avLst>
        </a:prstGeom>
        <a:ln>
          <a:noFill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940089EE-1DA7-4C24-B836-F8ACC1B932F3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50</a:t>
          </a:fld>
          <a:endParaRPr lang="en-IN" sz="13800" b="0"/>
        </a:p>
      </xdr:txBody>
    </xdr:sp>
    <xdr:clientData/>
  </xdr:twoCellAnchor>
  <xdr:twoCellAnchor editAs="oneCell">
    <xdr:from>
      <xdr:col>6</xdr:col>
      <xdr:colOff>1666875</xdr:colOff>
      <xdr:row>23</xdr:row>
      <xdr:rowOff>38100</xdr:rowOff>
    </xdr:from>
    <xdr:to>
      <xdr:col>7</xdr:col>
      <xdr:colOff>312375</xdr:colOff>
      <xdr:row>25</xdr:row>
      <xdr:rowOff>17100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850" y="3419475"/>
          <a:ext cx="360000" cy="36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160020</xdr:rowOff>
        </xdr:from>
        <xdr:to>
          <xdr:col>6</xdr:col>
          <xdr:colOff>1600200</xdr:colOff>
          <xdr:row>3</xdr:row>
          <xdr:rowOff>30480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1190625</xdr:colOff>
      <xdr:row>27</xdr:row>
      <xdr:rowOff>38100</xdr:rowOff>
    </xdr:from>
    <xdr:to>
      <xdr:col>4</xdr:col>
      <xdr:colOff>1550625</xdr:colOff>
      <xdr:row>29</xdr:row>
      <xdr:rowOff>17100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0" y="4181475"/>
          <a:ext cx="360000" cy="360000"/>
        </a:xfrm>
        <a:prstGeom prst="rect">
          <a:avLst/>
        </a:prstGeom>
      </xdr:spPr>
    </xdr:pic>
    <xdr:clientData/>
  </xdr:twoCellAnchor>
  <xdr:twoCellAnchor>
    <xdr:from>
      <xdr:col>0</xdr:col>
      <xdr:colOff>428625</xdr:colOff>
      <xdr:row>25</xdr:row>
      <xdr:rowOff>57150</xdr:rowOff>
    </xdr:from>
    <xdr:to>
      <xdr:col>1</xdr:col>
      <xdr:colOff>700950</xdr:colOff>
      <xdr:row>29</xdr:row>
      <xdr:rowOff>15150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428625" y="3819525"/>
          <a:ext cx="720000" cy="720000"/>
        </a:xfrm>
        <a:prstGeom prst="roundRect">
          <a:avLst>
            <a:gd name="adj" fmla="val 9167"/>
          </a:avLst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0" i="0" u="none" strike="noStrike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41" name="tblAndaman_Nicobar_Islands" displayName="tblAndaman_Nicobar_Islands" ref="B2:B3" totalsRowShown="0">
  <autoFilter ref="B2:B3"/>
  <tableColumns count="1">
    <tableColumn id="1" name="Andaman_Nicobar_Island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2" name="tblAndhra_Pradesh" displayName="tblAndhra_Pradesh" ref="D2:D92" totalsRowShown="0">
  <autoFilter ref="D2:D92"/>
  <tableColumns count="1">
    <tableColumn id="1" name="Andhra_Pradesh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3" name="tblArunachal_Pradesh" displayName="tblArunachal_Pradesh" ref="F2:F4" totalsRowShown="0">
  <autoFilter ref="F2:F4"/>
  <tableColumns count="1">
    <tableColumn id="1" name="Arunachal_Prades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4" name="tblAssam" displayName="tblAssam" ref="H2:H25" totalsRowShown="0">
  <autoFilter ref="H2:H25"/>
  <tableColumns count="1">
    <tableColumn id="1" name="Assa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5" name="tblBihar" displayName="tblBihar" ref="J2:J76" totalsRowShown="0">
  <autoFilter ref="J2:J76"/>
  <tableColumns count="1">
    <tableColumn id="1" name="Biha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6" name="tblChandigarh" displayName="tblChandigarh" ref="L2:L3" totalsRowShown="0">
  <autoFilter ref="L2:L3"/>
  <tableColumns count="1">
    <tableColumn id="1" name="Chandigarh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7" name="tblChhattisgarh" displayName="tblChhattisgarh" ref="N2:N17" totalsRowShown="0">
  <autoFilter ref="N2:N17"/>
  <tableColumns count="1">
    <tableColumn id="1" name="Chhattisgarh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0" name="tblDadra_Nagar_Haveli" displayName="tblDadra_Nagar_Haveli" ref="P2:P3" totalsRowShown="0">
  <autoFilter ref="P2:P3"/>
  <tableColumns count="1">
    <tableColumn id="1" name="Dadra_Nagar_Haveli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1" name="tblDaman_Diu" displayName="tblDaman_Diu" ref="R2:R4" totalsRowShown="0">
  <autoFilter ref="R2:R4"/>
  <tableColumns count="1">
    <tableColumn id="1" name="Daman_Diu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2" name="tblDelhi" displayName="tblDelhi" ref="T2:T9" totalsRowShown="0">
  <autoFilter ref="T2:T9"/>
  <tableColumns count="1">
    <tableColumn id="1" name="Delhi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53" name="tblGoa" displayName="tblGoa" ref="V2:V5" totalsRowShown="0">
  <autoFilter ref="V2:V5"/>
  <tableColumns count="1">
    <tableColumn id="1" name="Go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4" name="tblGujarat" displayName="tblGujarat" ref="X2:X65" totalsRowShown="0">
  <autoFilter ref="X2:X65"/>
  <tableColumns count="1">
    <tableColumn id="1" name="Gujara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5" name="tblHaryana" displayName="tblHaryana" ref="Z2:Z34" totalsRowShown="0">
  <autoFilter ref="Z2:Z34"/>
  <tableColumns count="1">
    <tableColumn id="1" name="Haryan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6" name="tblHimachal_Pradesh" displayName="tblHimachal_Pradesh" ref="AB2:AB7" totalsRowShown="0">
  <autoFilter ref="AB2:AB7"/>
  <tableColumns count="1">
    <tableColumn id="1" name="Himachal_Pradesh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57" name="tblJammu_Kashmir" displayName="tblJammu_Kashmir" ref="AD2:AD9" totalsRowShown="0">
  <autoFilter ref="AD2:AD9"/>
  <tableColumns count="1">
    <tableColumn id="1" name="Jammu_Kashmir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58" name="tblJharkhand" displayName="tblJharkhand" ref="AF2:AF25" totalsRowShown="0">
  <autoFilter ref="AF2:AF25"/>
  <tableColumns count="1">
    <tableColumn id="1" name="Jharkhan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59" name="tblKarnataka" displayName="tblKarnataka" ref="AH2:AH79" totalsRowShown="0">
  <autoFilter ref="AH2:AH79"/>
  <tableColumns count="1">
    <tableColumn id="1" name="Karnatak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0" name="tblKerala" displayName="tblKerala" ref="AJ2:AJ58" totalsRowShown="0">
  <autoFilter ref="AJ2:AJ58"/>
  <tableColumns count="1">
    <tableColumn id="1" name="Keral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61" name="tblLakshadweep" displayName="tblLakshadweep" ref="AL2:AL3" totalsRowShown="0">
  <autoFilter ref="AL2:AL3"/>
  <tableColumns count="1">
    <tableColumn id="1" name="Lakshadweep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62" name="tblMadhya_Pradesh" displayName="tblMadhya_Pradesh" ref="AN2:AN81" totalsRowShown="0">
  <autoFilter ref="AN2:AN81"/>
  <tableColumns count="1">
    <tableColumn id="1" name="Madhya_Pradesh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3" name="tblMaharashtra" displayName="tblMaharashtra" ref="AP2:AP127" totalsRowShown="0">
  <autoFilter ref="AP2:AP127"/>
  <tableColumns count="1">
    <tableColumn id="1" name="Maharashtr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4" name="tblManipur" displayName="tblManipur" ref="AR2:AR6" totalsRowShown="0">
  <autoFilter ref="AR2:AR6"/>
  <tableColumns count="1">
    <tableColumn id="1" name="Manipur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5" name="tblMeghalaya" displayName="tblMeghalaya" ref="AT2:AT4" totalsRowShown="0">
  <autoFilter ref="AT2:AT4"/>
  <tableColumns count="1">
    <tableColumn id="1" name="Meghalaya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66" name="tblMizoram" displayName="tblMizoram" ref="AV2:AV5" totalsRowShown="0">
  <autoFilter ref="AV2:AV5"/>
  <tableColumns count="1">
    <tableColumn id="1" name="Mizoram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67" name="tblNagaland" displayName="tblNagaland" ref="AX2:AX7" totalsRowShown="0">
  <autoFilter ref="AX2:AX7"/>
  <tableColumns count="1">
    <tableColumn id="1" name="Nagaland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68" name="tblOdisha" displayName="tblOdisha" ref="AZ2:AZ37" totalsRowShown="0">
  <autoFilter ref="AZ2:AZ37"/>
  <tableColumns count="1">
    <tableColumn id="1" name="Odisha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69" name="tblPondicherry" displayName="tblPondicherry" ref="BB2:BB7" totalsRowShown="0">
  <autoFilter ref="BB2:BB7"/>
  <tableColumns count="1">
    <tableColumn id="1" name="Pondicherr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70" name="tblPunjab" displayName="tblPunjab" ref="BD2:BD48" totalsRowShown="0">
  <autoFilter ref="BD2:BD48"/>
  <tableColumns count="1">
    <tableColumn id="1" name="Punjab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71" name="tblRajasthan" displayName="tblRajasthan" ref="BF2:BF81" totalsRowShown="0">
  <autoFilter ref="BF2:BF81"/>
  <tableColumns count="1">
    <tableColumn id="1" name="Rajasthan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72" name="tblSikkim" displayName="tblSikkim" ref="BH2:BH3" totalsRowShown="0">
  <autoFilter ref="BH2:BH3"/>
  <tableColumns count="1">
    <tableColumn id="1" name="Sikkim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73" name="tblTamil_Nadu" displayName="tblTamil_Nadu" ref="BJ2:BJ110" totalsRowShown="0">
  <autoFilter ref="BJ2:BJ110"/>
  <tableColumns count="1">
    <tableColumn id="1" name="Tamil_Nadu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74" name="tblTelangana" displayName="tblTelangana" ref="BL2:BL41" totalsRowShown="0">
  <autoFilter ref="BL2:BL41"/>
  <tableColumns count="1">
    <tableColumn id="1" name="Telangana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75" name="tblTripura" displayName="tblTripura" ref="BN2:BN9" totalsRowShown="0">
  <autoFilter ref="BN2:BN9"/>
  <tableColumns count="1">
    <tableColumn id="1" name="Tripura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76" name="tblUttar_Pradesh" displayName="tblUttar_Pradesh" ref="BP2:BP122" totalsRowShown="0">
  <autoFilter ref="BP2:BP122"/>
  <tableColumns count="1">
    <tableColumn id="1" name="Uttar_Pradesh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77" name="tblUttaranchal" displayName="tblUttaranchal" ref="BR2:BR63" totalsRowShown="0">
  <autoFilter ref="BR2:BR63"/>
  <tableColumns count="1">
    <tableColumn id="1" name="Uttarancha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78" name="tblWest_Bengal" displayName="tblWest_Bengal" ref="BT2:BT58" totalsRowShown="0">
  <autoFilter ref="BT2:BT58"/>
  <tableColumns count="1">
    <tableColumn id="1" name="West_Bengal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" name="Andaman_Nicobar_Islands" displayName="Andaman_Nicobar_Islands" ref="B2:B5" totalsRowShown="0">
  <autoFilter ref="B2:B5"/>
  <tableColumns count="1">
    <tableColumn id="1" name="Andaman_Nicobar_Islands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6" name="Andhra_Pradesh" displayName="Andhra_Pradesh" ref="D2:D15" totalsRowShown="0">
  <autoFilter ref="D2:D15"/>
  <tableColumns count="1">
    <tableColumn id="1" name="Andhra_Pradesh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7" name="Arunachal_Pradesh" displayName="Arunachal_Pradesh" ref="F2:F27" totalsRowShown="0">
  <autoFilter ref="F2:F27"/>
  <tableColumns count="1">
    <tableColumn id="1" name="Arunachal_Pradesh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8" name="Assam" displayName="Assam" ref="H2:H35" totalsRowShown="0">
  <autoFilter ref="H2:H35"/>
  <tableColumns count="1">
    <tableColumn id="1" name="Assam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9" name="Bihar" displayName="Bihar" ref="J2:J40" totalsRowShown="0">
  <autoFilter ref="J2:J40"/>
  <tableColumns count="1">
    <tableColumn id="1" name="Bihar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10" name="Chandigarh" displayName="Chandigarh" ref="L2:L3" totalsRowShown="0">
  <autoFilter ref="L2:L3"/>
  <tableColumns count="1">
    <tableColumn id="1" name="Chandigarh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11" name="Chhattisgarh" displayName="Chhattisgarh" ref="N2:N29" totalsRowShown="0">
  <autoFilter ref="N2:N29"/>
  <tableColumns count="1">
    <tableColumn id="1" name="Chhattisgarh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12" name="Dadra_Nagar_Haveli" displayName="Dadra_Nagar_Haveli" ref="P2:P3" totalsRowShown="0">
  <autoFilter ref="P2:P3"/>
  <tableColumns count="1">
    <tableColumn id="1" name="Dadra_Nagar_Haveli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13" name="Daman_Diu" displayName="Daman_Diu" ref="R2:R4" totalsRowShown="0">
  <autoFilter ref="R2:R4"/>
  <tableColumns count="1">
    <tableColumn id="1" name="Daman_Diu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4" name="Delhi" displayName="Delhi" ref="T2:T13" totalsRowShown="0">
  <autoFilter ref="T2:T13"/>
  <tableColumns count="1">
    <tableColumn id="1" name="Delhi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15" name="Goa" displayName="Goa" ref="V2:V4" totalsRowShown="0">
  <autoFilter ref="V2:V4"/>
  <tableColumns count="1">
    <tableColumn id="1" name="Goa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16" name="Gujarat" displayName="Gujarat" ref="X2:X35" totalsRowShown="0">
  <autoFilter ref="X2:X35"/>
  <tableColumns count="1">
    <tableColumn id="1" name="Gujarat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17" name="Haryana" displayName="Haryana" ref="Z2:Z24" totalsRowShown="0">
  <autoFilter ref="Z2:Z24"/>
  <tableColumns count="1">
    <tableColumn id="1" name="Haryana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18" name="Himachal_Pradesh" displayName="Himachal_Pradesh" ref="AB2:AB14" totalsRowShown="0">
  <autoFilter ref="AB2:AB14"/>
  <tableColumns count="1">
    <tableColumn id="1" name="Himachal_Pradesh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19" name="Jammu_Kashmir" displayName="Jammu_Kashmir" ref="AD2:AD24" totalsRowShown="0">
  <autoFilter ref="AD2:AD24"/>
  <tableColumns count="1">
    <tableColumn id="1" name="Jammu_Kashmir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0" name="Jharkhand" displayName="Jharkhand" ref="AF2:AF26" totalsRowShown="0">
  <autoFilter ref="AF2:AF26"/>
  <tableColumns count="1">
    <tableColumn id="1" name="Jharkhand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21" name="Karnataka" displayName="Karnataka" ref="AH2:AH32" totalsRowShown="0">
  <autoFilter ref="AH2:AH32"/>
  <tableColumns count="1">
    <tableColumn id="1" name="Karnataka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id="22" name="Kerala" displayName="Kerala" ref="AJ2:AJ16" totalsRowShown="0">
  <autoFilter ref="AJ2:AJ16"/>
  <tableColumns count="1">
    <tableColumn id="1" name="Kerala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23" name="Lakshadweep" displayName="Lakshadweep" ref="AL2:AL3" totalsRowShown="0">
  <autoFilter ref="AL2:AL3"/>
  <tableColumns count="1">
    <tableColumn id="1" name="Lakshadweep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24" name="Madhya_Pradesh" displayName="Madhya_Pradesh" ref="AN2:AN54" totalsRowShown="0">
  <autoFilter ref="AN2:AN54"/>
  <tableColumns count="1">
    <tableColumn id="1" name="Madhya_Pradesh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5" name="Maharashtra" displayName="Maharashtra" ref="AP2:AP38" totalsRowShown="0">
  <autoFilter ref="AP2:AP38"/>
  <tableColumns count="1">
    <tableColumn id="1" name="Maharashtra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26" name="Manipur" displayName="Manipur" ref="AR2:AR18" totalsRowShown="0">
  <autoFilter ref="AR2:AR18"/>
  <tableColumns count="1">
    <tableColumn id="1" name="Manipur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7" name="Meghalaya" displayName="Meghalaya" ref="AT2:AT13" totalsRowShown="0">
  <autoFilter ref="AT2:AT13"/>
  <tableColumns count="1">
    <tableColumn id="1" name="Meghalaya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28" name="Mizoram" displayName="Mizoram" ref="AV2:AV10" totalsRowShown="0">
  <autoFilter ref="AV2:AV10"/>
  <tableColumns count="1">
    <tableColumn id="1" name="Mizoram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29" name="Nagaland" displayName="Nagaland" ref="AX2:AX14" totalsRowShown="0">
  <autoFilter ref="AX2:AX14"/>
  <tableColumns count="1">
    <tableColumn id="1" name="Nagaland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30" name="Odisha" displayName="Odisha" ref="AZ2:AZ32" totalsRowShown="0">
  <autoFilter ref="AZ2:AZ32"/>
  <tableColumns count="1">
    <tableColumn id="1" name="Odisha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31" name="Pondicherry" displayName="Pondicherry" ref="BB2:BB6" totalsRowShown="0">
  <autoFilter ref="BB2:BB6"/>
  <tableColumns count="1">
    <tableColumn id="1" name="Pondicherry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32" name="Punjab" displayName="Punjab" ref="BD2:BD24" totalsRowShown="0">
  <autoFilter ref="BD2:BD24"/>
  <tableColumns count="1">
    <tableColumn id="1" name="Punjab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33" name="Rajasthan" displayName="Rajasthan" ref="BF2:BF35" totalsRowShown="0">
  <autoFilter ref="BF2:BF35"/>
  <tableColumns count="1">
    <tableColumn id="1" name="Rajasthan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34" name="Sikkim" displayName="Sikkim" ref="BH2:BH6" totalsRowShown="0">
  <autoFilter ref="BH2:BH6"/>
  <tableColumns count="1">
    <tableColumn id="1" name="Sikkim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35" name="Tamil_Nadu" displayName="Tamil_Nadu" ref="BJ2:BJ35" totalsRowShown="0">
  <autoFilter ref="BJ2:BJ35"/>
  <tableColumns count="1">
    <tableColumn id="1" name="Tamil_Nadu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36" name="Telangana" displayName="Telangana" ref="BL2:BL33" totalsRowShown="0">
  <autoFilter ref="BL2:BL33"/>
  <tableColumns count="1">
    <tableColumn id="1" name="Telangana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37" name="Tripura" displayName="Tripura" ref="BN2:BN10" totalsRowShown="0">
  <autoFilter ref="BN2:BN10"/>
  <tableColumns count="1">
    <tableColumn id="1" name="Tripura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38" name="Uttar_Pradesh" displayName="Uttar_Pradesh" ref="BP2:BP77" totalsRowShown="0">
  <autoFilter ref="BP2:BP77"/>
  <tableColumns count="1">
    <tableColumn id="1" name="Uttar_Pradesh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39" name="Uttaranchal" displayName="Uttaranchal" ref="BR2:BR15" totalsRowShown="0">
  <autoFilter ref="BR2:BR15"/>
  <tableColumns count="1">
    <tableColumn id="1" name="Uttaranchal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40" name="West_Bengal" displayName="West_Bengal" ref="BT2:BT25" totalsRowShown="0">
  <autoFilter ref="BT2:BT25"/>
  <tableColumns count="1">
    <tableColumn id="1" name="West_Bengal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1" name="ProfileType" displayName="ProfileType" ref="D2:D9" totalsRowShown="0" headerRowDxfId="4">
  <tableColumns count="1">
    <tableColumn id="1" name="ProfileType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2" name="TMEName" displayName="TMEName" ref="F2:F7" totalsRowShown="0" headerRowDxfId="3">
  <tableColumns count="1">
    <tableColumn id="1" name="TMEName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3" name="State" displayName="State" ref="B2:B38" totalsRowShown="0" headerRowDxfId="2">
  <tableColumns count="1">
    <tableColumn id="1" name="State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4" name="TShirtSize" displayName="TShirtSize" ref="D14:D23" totalsRowShown="0" headerRowDxfId="1">
  <tableColumns count="1">
    <tableColumn id="1" name="TShirtSize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9" name="Disposition" displayName="Disposition" ref="H2:H13" totalsRowShown="0" headerRowDxfId="0">
  <autoFilter ref="H2:H13"/>
  <tableColumns count="1">
    <tableColumn id="1" name="Dispos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8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49.xml"/><Relationship Id="rId18" Type="http://schemas.openxmlformats.org/officeDocument/2006/relationships/table" Target="../tables/table54.xml"/><Relationship Id="rId26" Type="http://schemas.openxmlformats.org/officeDocument/2006/relationships/table" Target="../tables/table62.xml"/><Relationship Id="rId3" Type="http://schemas.openxmlformats.org/officeDocument/2006/relationships/table" Target="../tables/table39.xml"/><Relationship Id="rId21" Type="http://schemas.openxmlformats.org/officeDocument/2006/relationships/table" Target="../tables/table57.xml"/><Relationship Id="rId34" Type="http://schemas.openxmlformats.org/officeDocument/2006/relationships/table" Target="../tables/table70.xml"/><Relationship Id="rId7" Type="http://schemas.openxmlformats.org/officeDocument/2006/relationships/table" Target="../tables/table43.xml"/><Relationship Id="rId12" Type="http://schemas.openxmlformats.org/officeDocument/2006/relationships/table" Target="../tables/table48.xml"/><Relationship Id="rId17" Type="http://schemas.openxmlformats.org/officeDocument/2006/relationships/table" Target="../tables/table53.xml"/><Relationship Id="rId25" Type="http://schemas.openxmlformats.org/officeDocument/2006/relationships/table" Target="../tables/table61.xml"/><Relationship Id="rId33" Type="http://schemas.openxmlformats.org/officeDocument/2006/relationships/table" Target="../tables/table69.xml"/><Relationship Id="rId2" Type="http://schemas.openxmlformats.org/officeDocument/2006/relationships/table" Target="../tables/table38.xml"/><Relationship Id="rId16" Type="http://schemas.openxmlformats.org/officeDocument/2006/relationships/table" Target="../tables/table52.xml"/><Relationship Id="rId20" Type="http://schemas.openxmlformats.org/officeDocument/2006/relationships/table" Target="../tables/table56.xml"/><Relationship Id="rId29" Type="http://schemas.openxmlformats.org/officeDocument/2006/relationships/table" Target="../tables/table65.xml"/><Relationship Id="rId1" Type="http://schemas.openxmlformats.org/officeDocument/2006/relationships/table" Target="../tables/table37.xml"/><Relationship Id="rId6" Type="http://schemas.openxmlformats.org/officeDocument/2006/relationships/table" Target="../tables/table42.xml"/><Relationship Id="rId11" Type="http://schemas.openxmlformats.org/officeDocument/2006/relationships/table" Target="../tables/table47.xml"/><Relationship Id="rId24" Type="http://schemas.openxmlformats.org/officeDocument/2006/relationships/table" Target="../tables/table60.xml"/><Relationship Id="rId32" Type="http://schemas.openxmlformats.org/officeDocument/2006/relationships/table" Target="../tables/table68.xml"/><Relationship Id="rId5" Type="http://schemas.openxmlformats.org/officeDocument/2006/relationships/table" Target="../tables/table41.xml"/><Relationship Id="rId15" Type="http://schemas.openxmlformats.org/officeDocument/2006/relationships/table" Target="../tables/table51.xml"/><Relationship Id="rId23" Type="http://schemas.openxmlformats.org/officeDocument/2006/relationships/table" Target="../tables/table59.xml"/><Relationship Id="rId28" Type="http://schemas.openxmlformats.org/officeDocument/2006/relationships/table" Target="../tables/table64.xml"/><Relationship Id="rId36" Type="http://schemas.openxmlformats.org/officeDocument/2006/relationships/table" Target="../tables/table72.xml"/><Relationship Id="rId10" Type="http://schemas.openxmlformats.org/officeDocument/2006/relationships/table" Target="../tables/table46.xml"/><Relationship Id="rId19" Type="http://schemas.openxmlformats.org/officeDocument/2006/relationships/table" Target="../tables/table55.xml"/><Relationship Id="rId31" Type="http://schemas.openxmlformats.org/officeDocument/2006/relationships/table" Target="../tables/table67.xml"/><Relationship Id="rId4" Type="http://schemas.openxmlformats.org/officeDocument/2006/relationships/table" Target="../tables/table40.xml"/><Relationship Id="rId9" Type="http://schemas.openxmlformats.org/officeDocument/2006/relationships/table" Target="../tables/table45.xml"/><Relationship Id="rId14" Type="http://schemas.openxmlformats.org/officeDocument/2006/relationships/table" Target="../tables/table50.xml"/><Relationship Id="rId22" Type="http://schemas.openxmlformats.org/officeDocument/2006/relationships/table" Target="../tables/table58.xml"/><Relationship Id="rId27" Type="http://schemas.openxmlformats.org/officeDocument/2006/relationships/table" Target="../tables/table63.xml"/><Relationship Id="rId30" Type="http://schemas.openxmlformats.org/officeDocument/2006/relationships/table" Target="../tables/table66.xml"/><Relationship Id="rId35" Type="http://schemas.openxmlformats.org/officeDocument/2006/relationships/table" Target="../tables/table71.xml"/><Relationship Id="rId8" Type="http://schemas.openxmlformats.org/officeDocument/2006/relationships/table" Target="../tables/table4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5.xml"/><Relationship Id="rId2" Type="http://schemas.openxmlformats.org/officeDocument/2006/relationships/table" Target="../tables/table74.xml"/><Relationship Id="rId1" Type="http://schemas.openxmlformats.org/officeDocument/2006/relationships/table" Target="../tables/table73.xml"/><Relationship Id="rId5" Type="http://schemas.openxmlformats.org/officeDocument/2006/relationships/table" Target="../tables/table77.xml"/><Relationship Id="rId4" Type="http://schemas.openxmlformats.org/officeDocument/2006/relationships/table" Target="../tables/table7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T127"/>
  <sheetViews>
    <sheetView showGridLines="0" workbookViewId="0"/>
  </sheetViews>
  <sheetFormatPr defaultRowHeight="14.4" x14ac:dyDescent="0.3"/>
  <cols>
    <col min="1" max="1" width="0.88671875" customWidth="1"/>
    <col min="2" max="2" width="26.5546875" customWidth="1"/>
    <col min="3" max="3" width="0.88671875" customWidth="1"/>
    <col min="4" max="4" width="17.6640625" customWidth="1"/>
    <col min="5" max="5" width="0.88671875" customWidth="1"/>
    <col min="6" max="6" width="20.109375" customWidth="1"/>
    <col min="7" max="7" width="0.88671875" customWidth="1"/>
    <col min="9" max="9" width="0.88671875" customWidth="1"/>
    <col min="11" max="11" width="0.88671875" customWidth="1"/>
    <col min="12" max="12" width="13.109375" customWidth="1"/>
    <col min="13" max="13" width="0.88671875" customWidth="1"/>
    <col min="14" max="14" width="14.33203125" customWidth="1"/>
    <col min="15" max="15" width="0.88671875" customWidth="1"/>
    <col min="16" max="16" width="21" customWidth="1"/>
    <col min="17" max="17" width="0.88671875" customWidth="1"/>
    <col min="18" max="18" width="13.33203125" customWidth="1"/>
    <col min="19" max="19" width="0.88671875" customWidth="1"/>
    <col min="21" max="21" width="0.88671875" customWidth="1"/>
    <col min="23" max="23" width="0.88671875" customWidth="1"/>
    <col min="24" max="24" width="9.6640625" customWidth="1"/>
    <col min="25" max="25" width="0.88671875" customWidth="1"/>
    <col min="26" max="26" width="10.33203125" customWidth="1"/>
    <col min="27" max="27" width="0.88671875" customWidth="1"/>
    <col min="28" max="28" width="19.44140625" customWidth="1"/>
    <col min="29" max="29" width="0.88671875" customWidth="1"/>
    <col min="30" max="30" width="17.5546875" customWidth="1"/>
    <col min="31" max="31" width="0.88671875" customWidth="1"/>
    <col min="32" max="32" width="12.109375" customWidth="1"/>
    <col min="33" max="33" width="0.88671875" customWidth="1"/>
    <col min="34" max="34" width="11.88671875" customWidth="1"/>
    <col min="35" max="35" width="0.88671875" customWidth="1"/>
    <col min="37" max="37" width="0.88671875" customWidth="1"/>
    <col min="38" max="38" width="15.109375" customWidth="1"/>
    <col min="39" max="39" width="0.88671875" customWidth="1"/>
    <col min="40" max="40" width="18.44140625" customWidth="1"/>
    <col min="41" max="41" width="0.88671875" customWidth="1"/>
    <col min="42" max="42" width="14.33203125" customWidth="1"/>
    <col min="43" max="43" width="0.88671875" customWidth="1"/>
    <col min="44" max="44" width="10.6640625" customWidth="1"/>
    <col min="45" max="45" width="0.88671875" customWidth="1"/>
    <col min="46" max="46" width="12.88671875" customWidth="1"/>
    <col min="47" max="47" width="0.88671875" customWidth="1"/>
    <col min="48" max="48" width="11" customWidth="1"/>
    <col min="49" max="49" width="0.88671875" customWidth="1"/>
    <col min="50" max="50" width="11.44140625" customWidth="1"/>
    <col min="51" max="51" width="0.88671875" customWidth="1"/>
    <col min="52" max="52" width="9.33203125" customWidth="1"/>
    <col min="53" max="53" width="0.88671875" customWidth="1"/>
    <col min="54" max="54" width="13.88671875" customWidth="1"/>
    <col min="55" max="55" width="0.88671875" customWidth="1"/>
    <col min="56" max="56" width="9.33203125" customWidth="1"/>
    <col min="57" max="57" width="0.88671875" customWidth="1"/>
    <col min="58" max="58" width="11.6640625" customWidth="1"/>
    <col min="59" max="59" width="0.88671875" customWidth="1"/>
    <col min="61" max="61" width="0.88671875" customWidth="1"/>
    <col min="62" max="62" width="13.6640625" customWidth="1"/>
    <col min="63" max="63" width="0.88671875" customWidth="1"/>
    <col min="64" max="64" width="12.109375" customWidth="1"/>
    <col min="65" max="65" width="0.88671875" customWidth="1"/>
    <col min="66" max="66" width="9.44140625" customWidth="1"/>
    <col min="67" max="67" width="0.88671875" customWidth="1"/>
    <col min="68" max="68" width="15.88671875" customWidth="1"/>
    <col min="69" max="69" width="0.88671875" customWidth="1"/>
    <col min="70" max="70" width="13.44140625" customWidth="1"/>
    <col min="71" max="71" width="0.88671875" customWidth="1"/>
    <col min="72" max="72" width="14.88671875" customWidth="1"/>
  </cols>
  <sheetData>
    <row r="1" spans="2:72" ht="5.0999999999999996" customHeight="1" x14ac:dyDescent="0.3"/>
    <row r="2" spans="2:72" x14ac:dyDescent="0.3">
      <c r="B2" t="s">
        <v>82</v>
      </c>
      <c r="D2" t="s">
        <v>83</v>
      </c>
      <c r="F2" t="s">
        <v>84</v>
      </c>
      <c r="H2" t="s">
        <v>57</v>
      </c>
      <c r="J2" t="s">
        <v>58</v>
      </c>
      <c r="L2" t="s">
        <v>59</v>
      </c>
      <c r="N2" t="s">
        <v>60</v>
      </c>
      <c r="P2" t="s">
        <v>85</v>
      </c>
      <c r="R2" t="s">
        <v>86</v>
      </c>
      <c r="T2" t="s">
        <v>61</v>
      </c>
      <c r="V2" t="s">
        <v>62</v>
      </c>
      <c r="X2" t="s">
        <v>63</v>
      </c>
      <c r="Z2" t="s">
        <v>64</v>
      </c>
      <c r="AB2" t="s">
        <v>87</v>
      </c>
      <c r="AD2" t="s">
        <v>88</v>
      </c>
      <c r="AF2" t="s">
        <v>65</v>
      </c>
      <c r="AH2" t="s">
        <v>66</v>
      </c>
      <c r="AJ2" t="s">
        <v>67</v>
      </c>
      <c r="AL2" t="s">
        <v>68</v>
      </c>
      <c r="AN2" t="s">
        <v>89</v>
      </c>
      <c r="AP2" t="s">
        <v>69</v>
      </c>
      <c r="AR2" t="s">
        <v>70</v>
      </c>
      <c r="AT2" t="s">
        <v>71</v>
      </c>
      <c r="AV2" t="s">
        <v>72</v>
      </c>
      <c r="AX2" t="s">
        <v>73</v>
      </c>
      <c r="AZ2" t="s">
        <v>90</v>
      </c>
      <c r="BB2" t="s">
        <v>74</v>
      </c>
      <c r="BD2" t="s">
        <v>75</v>
      </c>
      <c r="BF2" t="s">
        <v>76</v>
      </c>
      <c r="BH2" t="s">
        <v>77</v>
      </c>
      <c r="BJ2" t="s">
        <v>91</v>
      </c>
      <c r="BL2" t="s">
        <v>92</v>
      </c>
      <c r="BN2" t="s">
        <v>78</v>
      </c>
      <c r="BP2" t="s">
        <v>93</v>
      </c>
      <c r="BR2" t="s">
        <v>79</v>
      </c>
      <c r="BT2" t="s">
        <v>96</v>
      </c>
    </row>
    <row r="3" spans="2:72" x14ac:dyDescent="0.3">
      <c r="B3" t="s">
        <v>814</v>
      </c>
      <c r="D3" t="s">
        <v>815</v>
      </c>
      <c r="F3" t="s">
        <v>897</v>
      </c>
      <c r="H3" t="s">
        <v>139</v>
      </c>
      <c r="J3" t="s">
        <v>171</v>
      </c>
      <c r="L3" t="s">
        <v>59</v>
      </c>
      <c r="N3" t="s">
        <v>959</v>
      </c>
      <c r="P3" t="s">
        <v>967</v>
      </c>
      <c r="R3" t="s">
        <v>237</v>
      </c>
      <c r="T3" t="s">
        <v>968</v>
      </c>
      <c r="V3" t="s">
        <v>973</v>
      </c>
      <c r="X3" t="s">
        <v>976</v>
      </c>
      <c r="Z3" t="s">
        <v>285</v>
      </c>
      <c r="AB3" t="s">
        <v>1047</v>
      </c>
      <c r="AD3" t="s">
        <v>324</v>
      </c>
      <c r="AF3" t="s">
        <v>340</v>
      </c>
      <c r="AH3" t="s">
        <v>1066</v>
      </c>
      <c r="AJ3" t="s">
        <v>1134</v>
      </c>
      <c r="AL3" t="s">
        <v>68</v>
      </c>
      <c r="AN3" t="s">
        <v>409</v>
      </c>
      <c r="AP3" t="s">
        <v>460</v>
      </c>
      <c r="AR3" t="s">
        <v>1327</v>
      </c>
      <c r="AT3" t="s">
        <v>1330</v>
      </c>
      <c r="AV3" t="s">
        <v>522</v>
      </c>
      <c r="AX3" t="s">
        <v>532</v>
      </c>
      <c r="AZ3" t="s">
        <v>542</v>
      </c>
      <c r="BB3" t="s">
        <v>572</v>
      </c>
      <c r="BD3" t="s">
        <v>575</v>
      </c>
      <c r="BF3" t="s">
        <v>597</v>
      </c>
      <c r="BH3" t="s">
        <v>1450</v>
      </c>
      <c r="BJ3" t="s">
        <v>1451</v>
      </c>
      <c r="BL3" t="s">
        <v>1540</v>
      </c>
      <c r="BN3" t="s">
        <v>1563</v>
      </c>
      <c r="BP3" t="s">
        <v>1567</v>
      </c>
      <c r="BR3" t="s">
        <v>778</v>
      </c>
      <c r="BT3" t="s">
        <v>1702</v>
      </c>
    </row>
    <row r="4" spans="2:72" x14ac:dyDescent="0.3">
      <c r="D4" t="s">
        <v>816</v>
      </c>
      <c r="F4" t="s">
        <v>898</v>
      </c>
      <c r="H4" t="s">
        <v>899</v>
      </c>
      <c r="J4" t="s">
        <v>914</v>
      </c>
      <c r="N4" t="s">
        <v>960</v>
      </c>
      <c r="R4" t="s">
        <v>238</v>
      </c>
      <c r="T4" t="s">
        <v>61</v>
      </c>
      <c r="V4" t="s">
        <v>974</v>
      </c>
      <c r="X4" t="s">
        <v>252</v>
      </c>
      <c r="Z4" t="s">
        <v>286</v>
      </c>
      <c r="AB4" t="s">
        <v>1048</v>
      </c>
      <c r="AD4" t="s">
        <v>326</v>
      </c>
      <c r="AF4" t="s">
        <v>1052</v>
      </c>
      <c r="AH4" t="s">
        <v>1067</v>
      </c>
      <c r="AJ4" t="s">
        <v>394</v>
      </c>
      <c r="AN4" t="s">
        <v>411</v>
      </c>
      <c r="AP4" t="s">
        <v>461</v>
      </c>
      <c r="AR4" t="s">
        <v>1328</v>
      </c>
      <c r="AT4" t="s">
        <v>1331</v>
      </c>
      <c r="AV4" t="s">
        <v>526</v>
      </c>
      <c r="AX4" t="s">
        <v>534</v>
      </c>
      <c r="AZ4" t="s">
        <v>545</v>
      </c>
      <c r="BB4" t="s">
        <v>573</v>
      </c>
      <c r="BD4" t="s">
        <v>577</v>
      </c>
      <c r="BF4" t="s">
        <v>598</v>
      </c>
      <c r="BJ4" t="s">
        <v>1452</v>
      </c>
      <c r="BL4" t="s">
        <v>1541</v>
      </c>
      <c r="BN4" t="s">
        <v>1564</v>
      </c>
      <c r="BP4" t="s">
        <v>706</v>
      </c>
      <c r="BR4" t="s">
        <v>1654</v>
      </c>
      <c r="BT4" t="s">
        <v>791</v>
      </c>
    </row>
    <row r="5" spans="2:72" x14ac:dyDescent="0.3">
      <c r="D5" t="s">
        <v>817</v>
      </c>
      <c r="H5" t="s">
        <v>147</v>
      </c>
      <c r="J5" t="s">
        <v>172</v>
      </c>
      <c r="N5" t="s">
        <v>215</v>
      </c>
      <c r="T5" t="s">
        <v>969</v>
      </c>
      <c r="V5" t="s">
        <v>975</v>
      </c>
      <c r="X5" t="s">
        <v>254</v>
      </c>
      <c r="Z5" t="s">
        <v>287</v>
      </c>
      <c r="AB5" t="s">
        <v>314</v>
      </c>
      <c r="AD5" t="s">
        <v>331</v>
      </c>
      <c r="AF5" t="s">
        <v>341</v>
      </c>
      <c r="AH5" t="s">
        <v>1068</v>
      </c>
      <c r="AJ5" t="s">
        <v>1135</v>
      </c>
      <c r="AN5" t="s">
        <v>412</v>
      </c>
      <c r="AP5" t="s">
        <v>1224</v>
      </c>
      <c r="AR5" t="s">
        <v>1329</v>
      </c>
      <c r="AV5" t="s">
        <v>528</v>
      </c>
      <c r="AX5" t="s">
        <v>539</v>
      </c>
      <c r="AZ5" t="s">
        <v>1332</v>
      </c>
      <c r="BB5" t="s">
        <v>1355</v>
      </c>
      <c r="BD5" t="s">
        <v>1356</v>
      </c>
      <c r="BF5" t="s">
        <v>1389</v>
      </c>
      <c r="BJ5" t="s">
        <v>635</v>
      </c>
      <c r="BL5" t="s">
        <v>1542</v>
      </c>
      <c r="BN5" t="s">
        <v>1565</v>
      </c>
      <c r="BP5" t="s">
        <v>707</v>
      </c>
      <c r="BR5" t="s">
        <v>779</v>
      </c>
      <c r="BT5" t="s">
        <v>1703</v>
      </c>
    </row>
    <row r="6" spans="2:72" x14ac:dyDescent="0.3">
      <c r="D6" t="s">
        <v>818</v>
      </c>
      <c r="H6" t="s">
        <v>900</v>
      </c>
      <c r="J6" t="s">
        <v>915</v>
      </c>
      <c r="N6" t="s">
        <v>961</v>
      </c>
      <c r="T6" t="s">
        <v>970</v>
      </c>
      <c r="X6" t="s">
        <v>977</v>
      </c>
      <c r="Z6" t="s">
        <v>1027</v>
      </c>
      <c r="AB6" t="s">
        <v>316</v>
      </c>
      <c r="AD6" t="s">
        <v>1050</v>
      </c>
      <c r="AF6" t="s">
        <v>1053</v>
      </c>
      <c r="AH6" t="s">
        <v>1069</v>
      </c>
      <c r="AJ6" t="s">
        <v>1136</v>
      </c>
      <c r="AN6" t="s">
        <v>415</v>
      </c>
      <c r="AP6" t="s">
        <v>1225</v>
      </c>
      <c r="AR6" t="s">
        <v>496</v>
      </c>
      <c r="AX6" t="s">
        <v>540</v>
      </c>
      <c r="AZ6" t="s">
        <v>1333</v>
      </c>
      <c r="BB6" t="s">
        <v>74</v>
      </c>
      <c r="BD6" t="s">
        <v>579</v>
      </c>
      <c r="BF6" t="s">
        <v>602</v>
      </c>
      <c r="BJ6" t="s">
        <v>1453</v>
      </c>
      <c r="BL6" t="s">
        <v>1543</v>
      </c>
      <c r="BN6" t="s">
        <v>1566</v>
      </c>
      <c r="BP6" t="s">
        <v>708</v>
      </c>
      <c r="BR6" t="s">
        <v>1655</v>
      </c>
      <c r="BT6" t="s">
        <v>1704</v>
      </c>
    </row>
    <row r="7" spans="2:72" x14ac:dyDescent="0.3">
      <c r="D7" t="s">
        <v>819</v>
      </c>
      <c r="H7" t="s">
        <v>150</v>
      </c>
      <c r="J7" t="s">
        <v>173</v>
      </c>
      <c r="N7" t="s">
        <v>962</v>
      </c>
      <c r="T7" t="s">
        <v>971</v>
      </c>
      <c r="X7" t="s">
        <v>978</v>
      </c>
      <c r="Z7" t="s">
        <v>288</v>
      </c>
      <c r="AB7" t="s">
        <v>1049</v>
      </c>
      <c r="AD7" t="s">
        <v>1051</v>
      </c>
      <c r="AF7" t="s">
        <v>342</v>
      </c>
      <c r="AH7" t="s">
        <v>1070</v>
      </c>
      <c r="AJ7" t="s">
        <v>1137</v>
      </c>
      <c r="AN7" t="s">
        <v>416</v>
      </c>
      <c r="AP7" t="s">
        <v>1226</v>
      </c>
      <c r="AX7" t="s">
        <v>541</v>
      </c>
      <c r="AZ7" t="s">
        <v>1334</v>
      </c>
      <c r="BB7" t="s">
        <v>574</v>
      </c>
      <c r="BD7" t="s">
        <v>581</v>
      </c>
      <c r="BF7" t="s">
        <v>605</v>
      </c>
      <c r="BJ7" t="s">
        <v>636</v>
      </c>
      <c r="BL7" t="s">
        <v>1544</v>
      </c>
      <c r="BN7" t="s">
        <v>700</v>
      </c>
      <c r="BP7" t="s">
        <v>711</v>
      </c>
      <c r="BR7" t="s">
        <v>1656</v>
      </c>
      <c r="BT7" t="s">
        <v>1705</v>
      </c>
    </row>
    <row r="8" spans="2:72" x14ac:dyDescent="0.3">
      <c r="D8" t="s">
        <v>100</v>
      </c>
      <c r="H8" t="s">
        <v>151</v>
      </c>
      <c r="J8" t="s">
        <v>916</v>
      </c>
      <c r="N8" t="s">
        <v>217</v>
      </c>
      <c r="T8" t="s">
        <v>241</v>
      </c>
      <c r="X8" t="s">
        <v>258</v>
      </c>
      <c r="Z8" t="s">
        <v>289</v>
      </c>
      <c r="AD8" t="s">
        <v>338</v>
      </c>
      <c r="AF8" t="s">
        <v>343</v>
      </c>
      <c r="AH8" t="s">
        <v>1071</v>
      </c>
      <c r="AJ8" t="s">
        <v>1138</v>
      </c>
      <c r="AN8" t="s">
        <v>417</v>
      </c>
      <c r="AP8" t="s">
        <v>1227</v>
      </c>
      <c r="AZ8" t="s">
        <v>1335</v>
      </c>
      <c r="BD8" t="s">
        <v>1357</v>
      </c>
      <c r="BF8" t="s">
        <v>1390</v>
      </c>
      <c r="BJ8" t="s">
        <v>639</v>
      </c>
      <c r="BL8" t="s">
        <v>1545</v>
      </c>
      <c r="BN8" t="s">
        <v>623</v>
      </c>
      <c r="BP8" t="s">
        <v>715</v>
      </c>
      <c r="BR8" t="s">
        <v>1657</v>
      </c>
      <c r="BT8" t="s">
        <v>1706</v>
      </c>
    </row>
    <row r="9" spans="2:72" x14ac:dyDescent="0.3">
      <c r="D9" t="s">
        <v>820</v>
      </c>
      <c r="H9" t="s">
        <v>901</v>
      </c>
      <c r="J9" t="s">
        <v>917</v>
      </c>
      <c r="N9" t="s">
        <v>218</v>
      </c>
      <c r="T9" t="s">
        <v>972</v>
      </c>
      <c r="X9" t="s">
        <v>979</v>
      </c>
      <c r="Z9" t="s">
        <v>1028</v>
      </c>
      <c r="AD9" t="s">
        <v>339</v>
      </c>
      <c r="AF9" t="s">
        <v>344</v>
      </c>
      <c r="AH9" t="s">
        <v>1072</v>
      </c>
      <c r="AJ9" t="s">
        <v>1139</v>
      </c>
      <c r="AN9" t="s">
        <v>422</v>
      </c>
      <c r="AP9" t="s">
        <v>462</v>
      </c>
      <c r="AZ9" t="s">
        <v>1336</v>
      </c>
      <c r="BD9" t="s">
        <v>1358</v>
      </c>
      <c r="BF9" t="s">
        <v>599</v>
      </c>
      <c r="BJ9" t="s">
        <v>640</v>
      </c>
      <c r="BL9" t="s">
        <v>1546</v>
      </c>
      <c r="BN9" t="s">
        <v>629</v>
      </c>
      <c r="BP9" t="s">
        <v>719</v>
      </c>
      <c r="BR9" t="s">
        <v>1658</v>
      </c>
      <c r="BT9" t="s">
        <v>1707</v>
      </c>
    </row>
    <row r="10" spans="2:72" x14ac:dyDescent="0.3">
      <c r="D10" t="s">
        <v>821</v>
      </c>
      <c r="H10" t="s">
        <v>154</v>
      </c>
      <c r="J10" t="s">
        <v>918</v>
      </c>
      <c r="N10" t="s">
        <v>225</v>
      </c>
      <c r="X10" t="s">
        <v>980</v>
      </c>
      <c r="Z10" t="s">
        <v>1029</v>
      </c>
      <c r="AF10" t="s">
        <v>1054</v>
      </c>
      <c r="AH10" t="s">
        <v>369</v>
      </c>
      <c r="AJ10" t="s">
        <v>1140</v>
      </c>
      <c r="AN10" t="s">
        <v>425</v>
      </c>
      <c r="AP10" t="s">
        <v>1228</v>
      </c>
      <c r="AZ10" t="s">
        <v>1337</v>
      </c>
      <c r="BD10" t="s">
        <v>582</v>
      </c>
      <c r="BF10" t="s">
        <v>1391</v>
      </c>
      <c r="BJ10" t="s">
        <v>1454</v>
      </c>
      <c r="BL10" t="s">
        <v>670</v>
      </c>
      <c r="BP10" t="s">
        <v>724</v>
      </c>
      <c r="BR10" t="s">
        <v>307</v>
      </c>
      <c r="BT10" t="s">
        <v>1708</v>
      </c>
    </row>
    <row r="11" spans="2:72" x14ac:dyDescent="0.3">
      <c r="D11" t="s">
        <v>822</v>
      </c>
      <c r="H11" t="s">
        <v>158</v>
      </c>
      <c r="J11" t="s">
        <v>919</v>
      </c>
      <c r="N11" t="s">
        <v>227</v>
      </c>
      <c r="X11" t="s">
        <v>981</v>
      </c>
      <c r="Z11" t="s">
        <v>1030</v>
      </c>
      <c r="AF11" t="s">
        <v>1055</v>
      </c>
      <c r="AH11" t="s">
        <v>214</v>
      </c>
      <c r="AJ11" t="s">
        <v>1141</v>
      </c>
      <c r="AN11" t="s">
        <v>426</v>
      </c>
      <c r="AP11" t="s">
        <v>1229</v>
      </c>
      <c r="AZ11" t="s">
        <v>548</v>
      </c>
      <c r="BD11" t="s">
        <v>1359</v>
      </c>
      <c r="BF11" t="s">
        <v>616</v>
      </c>
      <c r="BJ11" t="s">
        <v>1455</v>
      </c>
      <c r="BL11" t="s">
        <v>671</v>
      </c>
      <c r="BP11" t="s">
        <v>729</v>
      </c>
      <c r="BR11" t="s">
        <v>1659</v>
      </c>
      <c r="BT11" t="s">
        <v>1709</v>
      </c>
    </row>
    <row r="12" spans="2:72" x14ac:dyDescent="0.3">
      <c r="D12" t="s">
        <v>823</v>
      </c>
      <c r="H12" t="s">
        <v>902</v>
      </c>
      <c r="J12" t="s">
        <v>175</v>
      </c>
      <c r="N12" t="s">
        <v>963</v>
      </c>
      <c r="X12" t="s">
        <v>264</v>
      </c>
      <c r="Z12" t="s">
        <v>295</v>
      </c>
      <c r="AF12" t="s">
        <v>1056</v>
      </c>
      <c r="AH12" t="s">
        <v>375</v>
      </c>
      <c r="AJ12" t="s">
        <v>1142</v>
      </c>
      <c r="AN12" t="s">
        <v>429</v>
      </c>
      <c r="AP12" t="s">
        <v>173</v>
      </c>
      <c r="AZ12" t="s">
        <v>550</v>
      </c>
      <c r="BD12" t="s">
        <v>584</v>
      </c>
      <c r="BF12" t="s">
        <v>615</v>
      </c>
      <c r="BJ12" t="s">
        <v>644</v>
      </c>
      <c r="BL12" t="s">
        <v>672</v>
      </c>
      <c r="BP12" t="s">
        <v>730</v>
      </c>
      <c r="BR12" t="s">
        <v>781</v>
      </c>
      <c r="BT12" t="s">
        <v>1710</v>
      </c>
    </row>
    <row r="13" spans="2:72" x14ac:dyDescent="0.3">
      <c r="D13" t="s">
        <v>824</v>
      </c>
      <c r="H13" t="s">
        <v>903</v>
      </c>
      <c r="J13" t="s">
        <v>920</v>
      </c>
      <c r="N13" t="s">
        <v>228</v>
      </c>
      <c r="X13" t="s">
        <v>266</v>
      </c>
      <c r="Z13" t="s">
        <v>1031</v>
      </c>
      <c r="AF13" t="s">
        <v>355</v>
      </c>
      <c r="AH13" t="s">
        <v>1073</v>
      </c>
      <c r="AJ13" t="s">
        <v>1143</v>
      </c>
      <c r="AN13" t="s">
        <v>429</v>
      </c>
      <c r="AP13" t="s">
        <v>1230</v>
      </c>
      <c r="AZ13" t="s">
        <v>1338</v>
      </c>
      <c r="BD13" t="s">
        <v>1360</v>
      </c>
      <c r="BF13" t="s">
        <v>620</v>
      </c>
      <c r="BJ13" t="s">
        <v>1456</v>
      </c>
      <c r="BL13" t="s">
        <v>1547</v>
      </c>
      <c r="BP13" t="s">
        <v>731</v>
      </c>
      <c r="BR13" t="s">
        <v>782</v>
      </c>
      <c r="BT13" t="s">
        <v>1711</v>
      </c>
    </row>
    <row r="14" spans="2:72" x14ac:dyDescent="0.3">
      <c r="D14" t="s">
        <v>825</v>
      </c>
      <c r="H14" t="s">
        <v>904</v>
      </c>
      <c r="J14" t="s">
        <v>921</v>
      </c>
      <c r="N14" t="s">
        <v>964</v>
      </c>
      <c r="X14" t="s">
        <v>267</v>
      </c>
      <c r="Z14" t="s">
        <v>1032</v>
      </c>
      <c r="AF14" t="s">
        <v>1057</v>
      </c>
      <c r="AH14" t="s">
        <v>1074</v>
      </c>
      <c r="AJ14" t="s">
        <v>397</v>
      </c>
      <c r="AN14" t="s">
        <v>1179</v>
      </c>
      <c r="AP14" t="s">
        <v>1231</v>
      </c>
      <c r="AZ14" t="s">
        <v>1339</v>
      </c>
      <c r="BD14" t="s">
        <v>1361</v>
      </c>
      <c r="BF14" t="s">
        <v>1392</v>
      </c>
      <c r="BJ14" t="s">
        <v>1457</v>
      </c>
      <c r="BL14" t="s">
        <v>675</v>
      </c>
      <c r="BP14" t="s">
        <v>732</v>
      </c>
      <c r="BR14" t="s">
        <v>1660</v>
      </c>
      <c r="BT14" t="s">
        <v>1712</v>
      </c>
    </row>
    <row r="15" spans="2:72" x14ac:dyDescent="0.3">
      <c r="D15" t="s">
        <v>101</v>
      </c>
      <c r="H15" t="s">
        <v>905</v>
      </c>
      <c r="J15" t="s">
        <v>176</v>
      </c>
      <c r="N15" t="s">
        <v>231</v>
      </c>
      <c r="X15" t="s">
        <v>982</v>
      </c>
      <c r="Z15" t="s">
        <v>297</v>
      </c>
      <c r="AF15" t="s">
        <v>1058</v>
      </c>
      <c r="AH15" t="s">
        <v>1075</v>
      </c>
      <c r="AJ15" t="s">
        <v>398</v>
      </c>
      <c r="AN15" t="s">
        <v>430</v>
      </c>
      <c r="AP15" t="s">
        <v>466</v>
      </c>
      <c r="AZ15" t="s">
        <v>553</v>
      </c>
      <c r="BD15" t="s">
        <v>1362</v>
      </c>
      <c r="BF15" t="s">
        <v>1393</v>
      </c>
      <c r="BJ15" t="s">
        <v>646</v>
      </c>
      <c r="BL15" t="s">
        <v>676</v>
      </c>
      <c r="BP15" t="s">
        <v>733</v>
      </c>
      <c r="BR15" t="s">
        <v>1661</v>
      </c>
      <c r="BT15" t="s">
        <v>796</v>
      </c>
    </row>
    <row r="16" spans="2:72" x14ac:dyDescent="0.3">
      <c r="D16" t="s">
        <v>826</v>
      </c>
      <c r="H16" t="s">
        <v>906</v>
      </c>
      <c r="J16" t="s">
        <v>922</v>
      </c>
      <c r="N16" t="s">
        <v>965</v>
      </c>
      <c r="X16" t="s">
        <v>983</v>
      </c>
      <c r="Z16" t="s">
        <v>1033</v>
      </c>
      <c r="AF16" t="s">
        <v>1059</v>
      </c>
      <c r="AH16" t="s">
        <v>1076</v>
      </c>
      <c r="AJ16" t="s">
        <v>1144</v>
      </c>
      <c r="AN16" t="s">
        <v>1180</v>
      </c>
      <c r="AP16" t="s">
        <v>467</v>
      </c>
      <c r="AZ16" t="s">
        <v>561</v>
      </c>
      <c r="BD16" t="s">
        <v>1363</v>
      </c>
      <c r="BF16" t="s">
        <v>1394</v>
      </c>
      <c r="BJ16" t="s">
        <v>1458</v>
      </c>
      <c r="BL16" t="s">
        <v>677</v>
      </c>
      <c r="BP16" t="s">
        <v>735</v>
      </c>
      <c r="BR16" t="s">
        <v>1662</v>
      </c>
      <c r="BT16" t="s">
        <v>1713</v>
      </c>
    </row>
    <row r="17" spans="4:72" x14ac:dyDescent="0.3">
      <c r="D17" t="s">
        <v>827</v>
      </c>
      <c r="H17" t="s">
        <v>907</v>
      </c>
      <c r="J17" t="s">
        <v>178</v>
      </c>
      <c r="N17" t="s">
        <v>966</v>
      </c>
      <c r="X17" t="s">
        <v>984</v>
      </c>
      <c r="Z17" t="s">
        <v>1034</v>
      </c>
      <c r="AF17" t="s">
        <v>1060</v>
      </c>
      <c r="AH17" t="s">
        <v>1077</v>
      </c>
      <c r="AJ17" t="s">
        <v>1145</v>
      </c>
      <c r="AN17" t="s">
        <v>1181</v>
      </c>
      <c r="AP17" t="s">
        <v>1232</v>
      </c>
      <c r="AZ17" t="s">
        <v>1340</v>
      </c>
      <c r="BD17" t="s">
        <v>586</v>
      </c>
      <c r="BF17" t="s">
        <v>1395</v>
      </c>
      <c r="BJ17" t="s">
        <v>1459</v>
      </c>
      <c r="BL17" t="s">
        <v>1548</v>
      </c>
      <c r="BP17" t="s">
        <v>738</v>
      </c>
      <c r="BR17" t="s">
        <v>1663</v>
      </c>
      <c r="BT17" t="s">
        <v>1714</v>
      </c>
    </row>
    <row r="18" spans="4:72" x14ac:dyDescent="0.3">
      <c r="D18" t="s">
        <v>828</v>
      </c>
      <c r="H18" t="s">
        <v>908</v>
      </c>
      <c r="J18" t="s">
        <v>923</v>
      </c>
      <c r="X18" t="s">
        <v>985</v>
      </c>
      <c r="Z18" t="s">
        <v>1035</v>
      </c>
      <c r="AF18" t="s">
        <v>1061</v>
      </c>
      <c r="AH18" t="s">
        <v>1078</v>
      </c>
      <c r="AJ18" t="s">
        <v>1146</v>
      </c>
      <c r="AN18" t="s">
        <v>1182</v>
      </c>
      <c r="AP18" t="s">
        <v>471</v>
      </c>
      <c r="AZ18" t="s">
        <v>562</v>
      </c>
      <c r="BD18" t="s">
        <v>1364</v>
      </c>
      <c r="BF18" t="s">
        <v>1396</v>
      </c>
      <c r="BJ18" t="s">
        <v>1460</v>
      </c>
      <c r="BL18" t="s">
        <v>1549</v>
      </c>
      <c r="BP18" t="s">
        <v>739</v>
      </c>
      <c r="BR18" t="s">
        <v>1664</v>
      </c>
      <c r="BT18" t="s">
        <v>1715</v>
      </c>
    </row>
    <row r="19" spans="4:72" x14ac:dyDescent="0.3">
      <c r="D19" t="s">
        <v>829</v>
      </c>
      <c r="H19" t="s">
        <v>164</v>
      </c>
      <c r="J19" t="s">
        <v>924</v>
      </c>
      <c r="X19" t="s">
        <v>986</v>
      </c>
      <c r="Z19" t="s">
        <v>300</v>
      </c>
      <c r="AF19" t="s">
        <v>1062</v>
      </c>
      <c r="AH19" t="s">
        <v>1079</v>
      </c>
      <c r="AJ19" t="s">
        <v>399</v>
      </c>
      <c r="AN19" t="s">
        <v>1183</v>
      </c>
      <c r="AP19" t="s">
        <v>472</v>
      </c>
      <c r="AZ19" t="s">
        <v>1341</v>
      </c>
      <c r="BD19" t="s">
        <v>587</v>
      </c>
      <c r="BF19" t="s">
        <v>1397</v>
      </c>
      <c r="BJ19" t="s">
        <v>649</v>
      </c>
      <c r="BL19" t="s">
        <v>1550</v>
      </c>
      <c r="BP19" t="s">
        <v>743</v>
      </c>
      <c r="BR19" t="s">
        <v>1665</v>
      </c>
      <c r="BT19" t="s">
        <v>1716</v>
      </c>
    </row>
    <row r="20" spans="4:72" x14ac:dyDescent="0.3">
      <c r="D20" t="s">
        <v>830</v>
      </c>
      <c r="H20" t="s">
        <v>909</v>
      </c>
      <c r="J20" t="s">
        <v>179</v>
      </c>
      <c r="X20" t="s">
        <v>987</v>
      </c>
      <c r="Z20" t="s">
        <v>301</v>
      </c>
      <c r="AF20" t="s">
        <v>1063</v>
      </c>
      <c r="AH20" t="s">
        <v>1080</v>
      </c>
      <c r="AJ20" t="s">
        <v>400</v>
      </c>
      <c r="AN20" t="s">
        <v>1184</v>
      </c>
      <c r="AP20" t="s">
        <v>1233</v>
      </c>
      <c r="AZ20" t="s">
        <v>1342</v>
      </c>
      <c r="BD20" t="s">
        <v>1365</v>
      </c>
      <c r="BF20" t="s">
        <v>1398</v>
      </c>
      <c r="BJ20" t="s">
        <v>1461</v>
      </c>
      <c r="BL20" t="s">
        <v>1551</v>
      </c>
      <c r="BP20" t="s">
        <v>744</v>
      </c>
      <c r="BR20" t="s">
        <v>1666</v>
      </c>
      <c r="BT20" t="s">
        <v>1717</v>
      </c>
    </row>
    <row r="21" spans="4:72" x14ac:dyDescent="0.3">
      <c r="D21" t="s">
        <v>831</v>
      </c>
      <c r="H21" t="s">
        <v>910</v>
      </c>
      <c r="J21" t="s">
        <v>925</v>
      </c>
      <c r="X21" t="s">
        <v>988</v>
      </c>
      <c r="Z21" t="s">
        <v>1036</v>
      </c>
      <c r="AF21" t="s">
        <v>359</v>
      </c>
      <c r="AH21" t="s">
        <v>1081</v>
      </c>
      <c r="AJ21" t="s">
        <v>400</v>
      </c>
      <c r="AN21" t="s">
        <v>1185</v>
      </c>
      <c r="AP21" t="s">
        <v>1234</v>
      </c>
      <c r="AZ21" t="s">
        <v>1343</v>
      </c>
      <c r="BD21" t="s">
        <v>1366</v>
      </c>
      <c r="BF21" t="s">
        <v>1399</v>
      </c>
      <c r="BJ21" t="s">
        <v>1462</v>
      </c>
      <c r="BL21" t="s">
        <v>1552</v>
      </c>
      <c r="BP21" t="s">
        <v>1568</v>
      </c>
      <c r="BR21" t="s">
        <v>1667</v>
      </c>
      <c r="BT21" t="s">
        <v>1718</v>
      </c>
    </row>
    <row r="22" spans="4:72" x14ac:dyDescent="0.3">
      <c r="D22" t="s">
        <v>832</v>
      </c>
      <c r="H22" t="s">
        <v>911</v>
      </c>
      <c r="J22" t="s">
        <v>926</v>
      </c>
      <c r="X22" t="s">
        <v>989</v>
      </c>
      <c r="Z22" t="s">
        <v>1037</v>
      </c>
      <c r="AF22" t="s">
        <v>360</v>
      </c>
      <c r="AH22" t="s">
        <v>1082</v>
      </c>
      <c r="AJ22" t="s">
        <v>1147</v>
      </c>
      <c r="AN22" t="s">
        <v>1186</v>
      </c>
      <c r="AP22" t="s">
        <v>473</v>
      </c>
      <c r="AZ22" t="s">
        <v>1344</v>
      </c>
      <c r="BD22" t="s">
        <v>1367</v>
      </c>
      <c r="BF22" t="s">
        <v>1400</v>
      </c>
      <c r="BJ22" t="s">
        <v>1463</v>
      </c>
      <c r="BL22" t="s">
        <v>681</v>
      </c>
      <c r="BP22" t="s">
        <v>1569</v>
      </c>
      <c r="BR22" t="s">
        <v>1668</v>
      </c>
      <c r="BT22" t="s">
        <v>1719</v>
      </c>
    </row>
    <row r="23" spans="4:72" x14ac:dyDescent="0.3">
      <c r="D23" t="s">
        <v>103</v>
      </c>
      <c r="H23" t="s">
        <v>912</v>
      </c>
      <c r="J23" t="s">
        <v>927</v>
      </c>
      <c r="X23" t="s">
        <v>990</v>
      </c>
      <c r="Z23" t="s">
        <v>1038</v>
      </c>
      <c r="AF23" t="s">
        <v>1064</v>
      </c>
      <c r="AH23" t="s">
        <v>1083</v>
      </c>
      <c r="AJ23" t="s">
        <v>401</v>
      </c>
      <c r="AN23" t="s">
        <v>1187</v>
      </c>
      <c r="AP23" t="s">
        <v>474</v>
      </c>
      <c r="AZ23" t="s">
        <v>1345</v>
      </c>
      <c r="BD23" t="s">
        <v>1368</v>
      </c>
      <c r="BF23" t="s">
        <v>993</v>
      </c>
      <c r="BJ23" t="s">
        <v>1464</v>
      </c>
      <c r="BL23" t="s">
        <v>1553</v>
      </c>
      <c r="BP23" t="s">
        <v>1570</v>
      </c>
      <c r="BR23" t="s">
        <v>1669</v>
      </c>
      <c r="BT23" t="s">
        <v>802</v>
      </c>
    </row>
    <row r="24" spans="4:72" x14ac:dyDescent="0.3">
      <c r="D24" t="s">
        <v>833</v>
      </c>
      <c r="H24" t="s">
        <v>913</v>
      </c>
      <c r="J24" t="s">
        <v>181</v>
      </c>
      <c r="X24" t="s">
        <v>991</v>
      </c>
      <c r="Z24" t="s">
        <v>303</v>
      </c>
      <c r="AF24" t="s">
        <v>362</v>
      </c>
      <c r="AH24" t="s">
        <v>1084</v>
      </c>
      <c r="AJ24" t="s">
        <v>1148</v>
      </c>
      <c r="AN24" t="s">
        <v>435</v>
      </c>
      <c r="AP24" t="s">
        <v>1235</v>
      </c>
      <c r="AZ24" t="s">
        <v>1346</v>
      </c>
      <c r="BD24" t="s">
        <v>1369</v>
      </c>
      <c r="BF24" t="s">
        <v>1401</v>
      </c>
      <c r="BJ24" t="s">
        <v>1465</v>
      </c>
      <c r="BL24" t="s">
        <v>1553</v>
      </c>
      <c r="BP24" t="s">
        <v>1571</v>
      </c>
      <c r="BR24" t="s">
        <v>783</v>
      </c>
      <c r="BT24" t="s">
        <v>803</v>
      </c>
    </row>
    <row r="25" spans="4:72" x14ac:dyDescent="0.3">
      <c r="D25" t="s">
        <v>834</v>
      </c>
      <c r="H25" t="s">
        <v>168</v>
      </c>
      <c r="J25" t="s">
        <v>182</v>
      </c>
      <c r="X25" t="s">
        <v>992</v>
      </c>
      <c r="Z25" t="s">
        <v>1039</v>
      </c>
      <c r="AF25" t="s">
        <v>1065</v>
      </c>
      <c r="AH25" t="s">
        <v>1085</v>
      </c>
      <c r="AJ25" t="s">
        <v>1149</v>
      </c>
      <c r="AN25" t="s">
        <v>1188</v>
      </c>
      <c r="AP25" t="s">
        <v>1236</v>
      </c>
      <c r="AZ25" t="s">
        <v>1347</v>
      </c>
      <c r="BD25" t="s">
        <v>1370</v>
      </c>
      <c r="BF25" t="s">
        <v>1402</v>
      </c>
      <c r="BJ25" t="s">
        <v>1466</v>
      </c>
      <c r="BL25" t="s">
        <v>684</v>
      </c>
      <c r="BP25" t="s">
        <v>1572</v>
      </c>
      <c r="BR25" t="s">
        <v>1670</v>
      </c>
      <c r="BT25" t="s">
        <v>1720</v>
      </c>
    </row>
    <row r="26" spans="4:72" x14ac:dyDescent="0.3">
      <c r="D26" t="s">
        <v>835</v>
      </c>
      <c r="J26" t="s">
        <v>928</v>
      </c>
      <c r="X26" t="s">
        <v>993</v>
      </c>
      <c r="Z26" t="s">
        <v>1040</v>
      </c>
      <c r="AH26" t="s">
        <v>1086</v>
      </c>
      <c r="AJ26" t="s">
        <v>1150</v>
      </c>
      <c r="AN26" t="s">
        <v>1189</v>
      </c>
      <c r="AP26" t="s">
        <v>1237</v>
      </c>
      <c r="AZ26" t="s">
        <v>1348</v>
      </c>
      <c r="BD26" t="s">
        <v>1371</v>
      </c>
      <c r="BF26" t="s">
        <v>1403</v>
      </c>
      <c r="BJ26" t="s">
        <v>1467</v>
      </c>
      <c r="BL26" t="s">
        <v>1554</v>
      </c>
      <c r="BP26" t="s">
        <v>1573</v>
      </c>
      <c r="BR26" t="s">
        <v>1671</v>
      </c>
      <c r="BT26" t="s">
        <v>1721</v>
      </c>
    </row>
    <row r="27" spans="4:72" x14ac:dyDescent="0.3">
      <c r="D27" t="s">
        <v>104</v>
      </c>
      <c r="J27" t="s">
        <v>929</v>
      </c>
      <c r="X27" t="s">
        <v>587</v>
      </c>
      <c r="Z27" t="s">
        <v>1041</v>
      </c>
      <c r="AH27" t="s">
        <v>1087</v>
      </c>
      <c r="AJ27" t="s">
        <v>1151</v>
      </c>
      <c r="AN27" t="s">
        <v>1190</v>
      </c>
      <c r="AP27" t="s">
        <v>1238</v>
      </c>
      <c r="AZ27" t="s">
        <v>568</v>
      </c>
      <c r="BD27" t="s">
        <v>1372</v>
      </c>
      <c r="BF27" t="s">
        <v>1404</v>
      </c>
      <c r="BJ27" t="s">
        <v>1468</v>
      </c>
      <c r="BL27" t="s">
        <v>685</v>
      </c>
      <c r="BP27" t="s">
        <v>930</v>
      </c>
      <c r="BR27" t="s">
        <v>1672</v>
      </c>
      <c r="BT27" t="s">
        <v>804</v>
      </c>
    </row>
    <row r="28" spans="4:72" x14ac:dyDescent="0.3">
      <c r="D28" t="s">
        <v>836</v>
      </c>
      <c r="J28" t="s">
        <v>183</v>
      </c>
      <c r="X28" t="s">
        <v>994</v>
      </c>
      <c r="Z28" t="s">
        <v>1042</v>
      </c>
      <c r="AH28" t="s">
        <v>1088</v>
      </c>
      <c r="AJ28" t="s">
        <v>1152</v>
      </c>
      <c r="AN28" t="s">
        <v>437</v>
      </c>
      <c r="AP28" t="s">
        <v>1239</v>
      </c>
      <c r="AZ28" t="s">
        <v>1349</v>
      </c>
      <c r="BD28" t="s">
        <v>591</v>
      </c>
      <c r="BF28" t="s">
        <v>1405</v>
      </c>
      <c r="BJ28" t="s">
        <v>1469</v>
      </c>
      <c r="BL28" t="s">
        <v>686</v>
      </c>
      <c r="BP28" t="s">
        <v>1574</v>
      </c>
      <c r="BR28" t="s">
        <v>1673</v>
      </c>
      <c r="BT28" t="s">
        <v>1722</v>
      </c>
    </row>
    <row r="29" spans="4:72" x14ac:dyDescent="0.3">
      <c r="D29" t="s">
        <v>837</v>
      </c>
      <c r="J29" t="s">
        <v>184</v>
      </c>
      <c r="X29" t="s">
        <v>272</v>
      </c>
      <c r="Z29" t="s">
        <v>304</v>
      </c>
      <c r="AH29" t="s">
        <v>1089</v>
      </c>
      <c r="AJ29" t="s">
        <v>1153</v>
      </c>
      <c r="AN29" t="s">
        <v>1191</v>
      </c>
      <c r="AP29" t="s">
        <v>1240</v>
      </c>
      <c r="AZ29" t="s">
        <v>1349</v>
      </c>
      <c r="BD29" t="s">
        <v>1373</v>
      </c>
      <c r="BF29" t="s">
        <v>1406</v>
      </c>
      <c r="BJ29" t="s">
        <v>1470</v>
      </c>
      <c r="BL29" t="s">
        <v>1555</v>
      </c>
      <c r="BP29" t="s">
        <v>1575</v>
      </c>
      <c r="BR29" t="s">
        <v>1674</v>
      </c>
      <c r="BT29" t="s">
        <v>1723</v>
      </c>
    </row>
    <row r="30" spans="4:72" x14ac:dyDescent="0.3">
      <c r="D30" t="s">
        <v>838</v>
      </c>
      <c r="J30" t="s">
        <v>186</v>
      </c>
      <c r="X30" t="s">
        <v>995</v>
      </c>
      <c r="Z30" t="s">
        <v>1043</v>
      </c>
      <c r="AH30" t="s">
        <v>1090</v>
      </c>
      <c r="AJ30" t="s">
        <v>1154</v>
      </c>
      <c r="AN30" t="s">
        <v>1192</v>
      </c>
      <c r="AP30" t="s">
        <v>1241</v>
      </c>
      <c r="AZ30" t="s">
        <v>569</v>
      </c>
      <c r="BD30" t="s">
        <v>1374</v>
      </c>
      <c r="BF30" t="s">
        <v>1407</v>
      </c>
      <c r="BJ30" t="s">
        <v>1471</v>
      </c>
      <c r="BL30" t="s">
        <v>1556</v>
      </c>
      <c r="BP30" t="s">
        <v>753</v>
      </c>
      <c r="BR30" t="s">
        <v>1675</v>
      </c>
      <c r="BT30" t="s">
        <v>1724</v>
      </c>
    </row>
    <row r="31" spans="4:72" x14ac:dyDescent="0.3">
      <c r="D31" t="s">
        <v>839</v>
      </c>
      <c r="J31" t="s">
        <v>188</v>
      </c>
      <c r="X31" t="s">
        <v>996</v>
      </c>
      <c r="Z31" t="s">
        <v>305</v>
      </c>
      <c r="AH31" t="s">
        <v>1091</v>
      </c>
      <c r="AJ31" t="s">
        <v>1155</v>
      </c>
      <c r="AN31" t="s">
        <v>1193</v>
      </c>
      <c r="AP31" t="s">
        <v>1242</v>
      </c>
      <c r="AZ31" t="s">
        <v>1350</v>
      </c>
      <c r="BD31" t="s">
        <v>1375</v>
      </c>
      <c r="BF31" t="s">
        <v>1408</v>
      </c>
      <c r="BJ31" t="s">
        <v>1472</v>
      </c>
      <c r="BL31" t="s">
        <v>1557</v>
      </c>
      <c r="BP31" t="s">
        <v>757</v>
      </c>
      <c r="BR31" t="s">
        <v>1676</v>
      </c>
      <c r="BT31" t="s">
        <v>1725</v>
      </c>
    </row>
    <row r="32" spans="4:72" x14ac:dyDescent="0.3">
      <c r="D32" t="s">
        <v>840</v>
      </c>
      <c r="J32" t="s">
        <v>189</v>
      </c>
      <c r="X32" t="s">
        <v>997</v>
      </c>
      <c r="Z32" t="s">
        <v>1044</v>
      </c>
      <c r="AH32" t="s">
        <v>1092</v>
      </c>
      <c r="AJ32" t="s">
        <v>1156</v>
      </c>
      <c r="AN32" t="s">
        <v>1194</v>
      </c>
      <c r="AP32" t="s">
        <v>1243</v>
      </c>
      <c r="AZ32" t="s">
        <v>1351</v>
      </c>
      <c r="BD32" t="s">
        <v>1375</v>
      </c>
      <c r="BF32" t="s">
        <v>1409</v>
      </c>
      <c r="BJ32" t="s">
        <v>1473</v>
      </c>
      <c r="BL32" t="s">
        <v>690</v>
      </c>
      <c r="BP32" t="s">
        <v>758</v>
      </c>
      <c r="BR32" t="s">
        <v>1677</v>
      </c>
      <c r="BT32" t="s">
        <v>1726</v>
      </c>
    </row>
    <row r="33" spans="4:72" x14ac:dyDescent="0.3">
      <c r="D33" t="s">
        <v>840</v>
      </c>
      <c r="J33" t="s">
        <v>930</v>
      </c>
      <c r="X33" t="s">
        <v>998</v>
      </c>
      <c r="Z33" t="s">
        <v>1045</v>
      </c>
      <c r="AH33" t="s">
        <v>1093</v>
      </c>
      <c r="AJ33" t="s">
        <v>1157</v>
      </c>
      <c r="AN33" t="s">
        <v>1194</v>
      </c>
      <c r="AP33" t="s">
        <v>1244</v>
      </c>
      <c r="AZ33" t="s">
        <v>571</v>
      </c>
      <c r="BD33" t="s">
        <v>1376</v>
      </c>
      <c r="BF33" t="s">
        <v>1410</v>
      </c>
      <c r="BJ33" t="s">
        <v>1474</v>
      </c>
      <c r="BL33" t="s">
        <v>1558</v>
      </c>
      <c r="BP33" t="s">
        <v>759</v>
      </c>
      <c r="BR33" t="s">
        <v>1678</v>
      </c>
      <c r="BT33" t="s">
        <v>1727</v>
      </c>
    </row>
    <row r="34" spans="4:72" x14ac:dyDescent="0.3">
      <c r="D34" t="s">
        <v>841</v>
      </c>
      <c r="J34" t="s">
        <v>190</v>
      </c>
      <c r="X34" t="s">
        <v>999</v>
      </c>
      <c r="Z34" t="s">
        <v>1046</v>
      </c>
      <c r="AH34" t="s">
        <v>1094</v>
      </c>
      <c r="AJ34" t="s">
        <v>1158</v>
      </c>
      <c r="AN34" t="s">
        <v>1195</v>
      </c>
      <c r="AP34" t="s">
        <v>1245</v>
      </c>
      <c r="AZ34" t="s">
        <v>1352</v>
      </c>
      <c r="BD34" t="s">
        <v>1377</v>
      </c>
      <c r="BF34" t="s">
        <v>944</v>
      </c>
      <c r="BJ34" t="s">
        <v>1475</v>
      </c>
      <c r="BL34" t="s">
        <v>691</v>
      </c>
      <c r="BP34" t="s">
        <v>760</v>
      </c>
      <c r="BR34" t="s">
        <v>1679</v>
      </c>
      <c r="BT34" t="s">
        <v>1728</v>
      </c>
    </row>
    <row r="35" spans="4:72" x14ac:dyDescent="0.3">
      <c r="D35" t="s">
        <v>106</v>
      </c>
      <c r="J35" t="s">
        <v>191</v>
      </c>
      <c r="X35" t="s">
        <v>1000</v>
      </c>
      <c r="AH35" t="s">
        <v>1095</v>
      </c>
      <c r="AJ35" t="s">
        <v>1159</v>
      </c>
      <c r="AN35" t="s">
        <v>440</v>
      </c>
      <c r="AP35" t="s">
        <v>1246</v>
      </c>
      <c r="AZ35" t="s">
        <v>1353</v>
      </c>
      <c r="BD35" t="s">
        <v>1378</v>
      </c>
      <c r="BF35" t="s">
        <v>622</v>
      </c>
      <c r="BJ35" t="s">
        <v>1476</v>
      </c>
      <c r="BL35" t="s">
        <v>1559</v>
      </c>
      <c r="BP35" t="s">
        <v>1576</v>
      </c>
      <c r="BR35" t="s">
        <v>1680</v>
      </c>
      <c r="BT35" t="s">
        <v>1729</v>
      </c>
    </row>
    <row r="36" spans="4:72" x14ac:dyDescent="0.3">
      <c r="D36" t="s">
        <v>842</v>
      </c>
      <c r="J36" t="s">
        <v>754</v>
      </c>
      <c r="X36" t="s">
        <v>278</v>
      </c>
      <c r="AH36" t="s">
        <v>1096</v>
      </c>
      <c r="AJ36" t="s">
        <v>1160</v>
      </c>
      <c r="AN36" t="s">
        <v>1196</v>
      </c>
      <c r="AP36" t="s">
        <v>1247</v>
      </c>
      <c r="AZ36" t="s">
        <v>1354</v>
      </c>
      <c r="BD36" t="s">
        <v>1379</v>
      </c>
      <c r="BF36" t="s">
        <v>622</v>
      </c>
      <c r="BJ36" t="s">
        <v>1477</v>
      </c>
      <c r="BL36" t="s">
        <v>692</v>
      </c>
      <c r="BP36" t="s">
        <v>762</v>
      </c>
      <c r="BR36" t="s">
        <v>1681</v>
      </c>
      <c r="BT36" t="s">
        <v>1730</v>
      </c>
    </row>
    <row r="37" spans="4:72" x14ac:dyDescent="0.3">
      <c r="D37" t="s">
        <v>843</v>
      </c>
      <c r="J37" t="s">
        <v>931</v>
      </c>
      <c r="X37" t="s">
        <v>1001</v>
      </c>
      <c r="AH37" t="s">
        <v>1097</v>
      </c>
      <c r="AJ37" t="s">
        <v>1161</v>
      </c>
      <c r="AN37" t="s">
        <v>1197</v>
      </c>
      <c r="AP37" t="s">
        <v>1248</v>
      </c>
      <c r="AZ37" t="s">
        <v>569</v>
      </c>
      <c r="BD37" t="s">
        <v>1380</v>
      </c>
      <c r="BF37" t="s">
        <v>1411</v>
      </c>
      <c r="BJ37" t="s">
        <v>1478</v>
      </c>
      <c r="BL37" t="s">
        <v>1560</v>
      </c>
      <c r="BP37" t="s">
        <v>1577</v>
      </c>
      <c r="BR37" t="s">
        <v>1682</v>
      </c>
      <c r="BT37" t="s">
        <v>806</v>
      </c>
    </row>
    <row r="38" spans="4:72" x14ac:dyDescent="0.3">
      <c r="D38" t="s">
        <v>844</v>
      </c>
      <c r="J38" t="s">
        <v>932</v>
      </c>
      <c r="X38" t="s">
        <v>1002</v>
      </c>
      <c r="AH38" t="s">
        <v>1098</v>
      </c>
      <c r="AJ38" t="s">
        <v>1162</v>
      </c>
      <c r="AN38" t="s">
        <v>1198</v>
      </c>
      <c r="AP38" t="s">
        <v>1249</v>
      </c>
      <c r="BD38" t="s">
        <v>592</v>
      </c>
      <c r="BF38" t="s">
        <v>1412</v>
      </c>
      <c r="BJ38" t="s">
        <v>650</v>
      </c>
      <c r="BL38" t="s">
        <v>693</v>
      </c>
      <c r="BP38" t="s">
        <v>1578</v>
      </c>
      <c r="BR38" t="s">
        <v>1683</v>
      </c>
      <c r="BT38" t="s">
        <v>1731</v>
      </c>
    </row>
    <row r="39" spans="4:72" x14ac:dyDescent="0.3">
      <c r="D39" t="s">
        <v>845</v>
      </c>
      <c r="J39" t="s">
        <v>933</v>
      </c>
      <c r="X39" t="s">
        <v>1003</v>
      </c>
      <c r="AH39" t="s">
        <v>1099</v>
      </c>
      <c r="AJ39" t="s">
        <v>404</v>
      </c>
      <c r="AN39" t="s">
        <v>1199</v>
      </c>
      <c r="AP39" t="s">
        <v>1250</v>
      </c>
      <c r="BD39" t="s">
        <v>1381</v>
      </c>
      <c r="BF39" t="s">
        <v>1413</v>
      </c>
      <c r="BJ39" t="s">
        <v>1479</v>
      </c>
      <c r="BL39" t="s">
        <v>694</v>
      </c>
      <c r="BP39" t="s">
        <v>1579</v>
      </c>
      <c r="BR39" t="s">
        <v>1684</v>
      </c>
      <c r="BT39" t="s">
        <v>1732</v>
      </c>
    </row>
    <row r="40" spans="4:72" x14ac:dyDescent="0.3">
      <c r="D40" t="s">
        <v>846</v>
      </c>
      <c r="J40" t="s">
        <v>934</v>
      </c>
      <c r="X40" t="s">
        <v>1004</v>
      </c>
      <c r="AH40" t="s">
        <v>1100</v>
      </c>
      <c r="AJ40" t="s">
        <v>1163</v>
      </c>
      <c r="AN40" t="s">
        <v>1200</v>
      </c>
      <c r="AP40" t="s">
        <v>1251</v>
      </c>
      <c r="BD40" t="s">
        <v>594</v>
      </c>
      <c r="BF40" t="s">
        <v>1414</v>
      </c>
      <c r="BJ40" t="s">
        <v>1480</v>
      </c>
      <c r="BL40" t="s">
        <v>1561</v>
      </c>
      <c r="BP40" t="s">
        <v>1580</v>
      </c>
      <c r="BR40" t="s">
        <v>1685</v>
      </c>
      <c r="BT40" t="s">
        <v>1733</v>
      </c>
    </row>
    <row r="41" spans="4:72" x14ac:dyDescent="0.3">
      <c r="D41" t="s">
        <v>847</v>
      </c>
      <c r="J41" t="s">
        <v>935</v>
      </c>
      <c r="X41" t="s">
        <v>1005</v>
      </c>
      <c r="AH41" t="s">
        <v>866</v>
      </c>
      <c r="AJ41" t="s">
        <v>1164</v>
      </c>
      <c r="AN41" t="s">
        <v>441</v>
      </c>
      <c r="AP41" t="s">
        <v>1252</v>
      </c>
      <c r="BD41" t="s">
        <v>1382</v>
      </c>
      <c r="BF41" t="s">
        <v>1415</v>
      </c>
      <c r="BJ41" t="s">
        <v>1481</v>
      </c>
      <c r="BL41" t="s">
        <v>1562</v>
      </c>
      <c r="BP41" t="s">
        <v>1581</v>
      </c>
      <c r="BR41" t="s">
        <v>1686</v>
      </c>
      <c r="BT41" t="s">
        <v>1734</v>
      </c>
    </row>
    <row r="42" spans="4:72" x14ac:dyDescent="0.3">
      <c r="D42" t="s">
        <v>848</v>
      </c>
      <c r="J42" t="s">
        <v>936</v>
      </c>
      <c r="X42" t="s">
        <v>1006</v>
      </c>
      <c r="AH42" t="s">
        <v>1101</v>
      </c>
      <c r="AJ42" t="s">
        <v>1165</v>
      </c>
      <c r="AN42" t="s">
        <v>1201</v>
      </c>
      <c r="AP42" t="s">
        <v>1253</v>
      </c>
      <c r="BD42" t="s">
        <v>1383</v>
      </c>
      <c r="BF42" t="s">
        <v>1416</v>
      </c>
      <c r="BJ42" t="s">
        <v>1482</v>
      </c>
      <c r="BP42" t="s">
        <v>1582</v>
      </c>
      <c r="BR42" t="s">
        <v>1687</v>
      </c>
      <c r="BT42" t="s">
        <v>1735</v>
      </c>
    </row>
    <row r="43" spans="4:72" x14ac:dyDescent="0.3">
      <c r="D43" t="s">
        <v>849</v>
      </c>
      <c r="J43" t="s">
        <v>937</v>
      </c>
      <c r="X43" t="s">
        <v>1007</v>
      </c>
      <c r="AH43" t="s">
        <v>386</v>
      </c>
      <c r="AJ43" t="s">
        <v>1166</v>
      </c>
      <c r="AN43" t="s">
        <v>1202</v>
      </c>
      <c r="AP43" t="s">
        <v>479</v>
      </c>
      <c r="BD43" t="s">
        <v>1384</v>
      </c>
      <c r="BF43" t="s">
        <v>1417</v>
      </c>
      <c r="BJ43" t="s">
        <v>1483</v>
      </c>
      <c r="BP43" t="s">
        <v>1583</v>
      </c>
      <c r="BR43" t="s">
        <v>1688</v>
      </c>
      <c r="BT43" t="s">
        <v>1736</v>
      </c>
    </row>
    <row r="44" spans="4:72" x14ac:dyDescent="0.3">
      <c r="D44" t="s">
        <v>850</v>
      </c>
      <c r="J44" t="s">
        <v>938</v>
      </c>
      <c r="X44" t="s">
        <v>1008</v>
      </c>
      <c r="AH44" t="s">
        <v>1102</v>
      </c>
      <c r="AJ44" t="s">
        <v>1167</v>
      </c>
      <c r="AN44" t="s">
        <v>1203</v>
      </c>
      <c r="AP44" t="s">
        <v>477</v>
      </c>
      <c r="BD44" t="s">
        <v>1385</v>
      </c>
      <c r="BF44" t="s">
        <v>623</v>
      </c>
      <c r="BJ44" t="s">
        <v>1484</v>
      </c>
      <c r="BP44" t="s">
        <v>1584</v>
      </c>
      <c r="BR44" t="s">
        <v>1689</v>
      </c>
      <c r="BT44" t="s">
        <v>1737</v>
      </c>
    </row>
    <row r="45" spans="4:72" x14ac:dyDescent="0.3">
      <c r="D45" t="s">
        <v>851</v>
      </c>
      <c r="J45" t="s">
        <v>939</v>
      </c>
      <c r="X45" t="s">
        <v>1009</v>
      </c>
      <c r="AH45" t="s">
        <v>1103</v>
      </c>
      <c r="AJ45" t="s">
        <v>1168</v>
      </c>
      <c r="AN45" t="s">
        <v>1204</v>
      </c>
      <c r="AP45" t="s">
        <v>1254</v>
      </c>
      <c r="BD45" t="s">
        <v>596</v>
      </c>
      <c r="BF45" t="s">
        <v>1418</v>
      </c>
      <c r="BJ45" t="s">
        <v>1485</v>
      </c>
      <c r="BP45" t="s">
        <v>1585</v>
      </c>
      <c r="BR45" t="s">
        <v>1690</v>
      </c>
      <c r="BT45" t="s">
        <v>1738</v>
      </c>
    </row>
    <row r="46" spans="4:72" x14ac:dyDescent="0.3">
      <c r="D46" t="s">
        <v>852</v>
      </c>
      <c r="J46" t="s">
        <v>940</v>
      </c>
      <c r="X46" t="s">
        <v>1010</v>
      </c>
      <c r="AH46" t="s">
        <v>1104</v>
      </c>
      <c r="AJ46" t="s">
        <v>1169</v>
      </c>
      <c r="AN46" t="s">
        <v>1205</v>
      </c>
      <c r="AP46" t="s">
        <v>1255</v>
      </c>
      <c r="BD46" t="s">
        <v>1386</v>
      </c>
      <c r="BF46" t="s">
        <v>1419</v>
      </c>
      <c r="BJ46" t="s">
        <v>1486</v>
      </c>
      <c r="BP46" t="s">
        <v>1586</v>
      </c>
      <c r="BR46" t="s">
        <v>1691</v>
      </c>
      <c r="BT46" t="s">
        <v>1739</v>
      </c>
    </row>
    <row r="47" spans="4:72" x14ac:dyDescent="0.3">
      <c r="D47" t="s">
        <v>853</v>
      </c>
      <c r="J47" t="s">
        <v>192</v>
      </c>
      <c r="X47" t="s">
        <v>280</v>
      </c>
      <c r="AH47" t="s">
        <v>1105</v>
      </c>
      <c r="AJ47" t="s">
        <v>1170</v>
      </c>
      <c r="AN47" t="s">
        <v>1206</v>
      </c>
      <c r="AP47" t="s">
        <v>1256</v>
      </c>
      <c r="BD47" t="s">
        <v>1387</v>
      </c>
      <c r="BF47" t="s">
        <v>1420</v>
      </c>
      <c r="BJ47" t="s">
        <v>1487</v>
      </c>
      <c r="BP47" t="s">
        <v>1587</v>
      </c>
      <c r="BR47" t="s">
        <v>784</v>
      </c>
      <c r="BT47" t="s">
        <v>1740</v>
      </c>
    </row>
    <row r="48" spans="4:72" x14ac:dyDescent="0.3">
      <c r="D48" t="s">
        <v>854</v>
      </c>
      <c r="J48" t="s">
        <v>941</v>
      </c>
      <c r="X48" t="s">
        <v>1011</v>
      </c>
      <c r="AH48" t="s">
        <v>1106</v>
      </c>
      <c r="AJ48" t="s">
        <v>1171</v>
      </c>
      <c r="AN48" t="s">
        <v>442</v>
      </c>
      <c r="AP48" t="s">
        <v>480</v>
      </c>
      <c r="BD48" t="s">
        <v>1388</v>
      </c>
      <c r="BF48" t="s">
        <v>1421</v>
      </c>
      <c r="BJ48" t="s">
        <v>652</v>
      </c>
      <c r="BP48" t="s">
        <v>1588</v>
      </c>
      <c r="BR48" t="s">
        <v>1692</v>
      </c>
      <c r="BT48" t="s">
        <v>1741</v>
      </c>
    </row>
    <row r="49" spans="4:72" x14ac:dyDescent="0.3">
      <c r="D49" t="s">
        <v>855</v>
      </c>
      <c r="J49" t="s">
        <v>193</v>
      </c>
      <c r="X49" t="s">
        <v>1012</v>
      </c>
      <c r="AH49" t="s">
        <v>1107</v>
      </c>
      <c r="AJ49" t="s">
        <v>406</v>
      </c>
      <c r="AN49" t="s">
        <v>443</v>
      </c>
      <c r="AP49" t="s">
        <v>1257</v>
      </c>
      <c r="BF49" t="s">
        <v>1422</v>
      </c>
      <c r="BJ49" t="s">
        <v>1488</v>
      </c>
      <c r="BP49" t="s">
        <v>1589</v>
      </c>
      <c r="BR49" t="s">
        <v>1693</v>
      </c>
      <c r="BT49" t="s">
        <v>1742</v>
      </c>
    </row>
    <row r="50" spans="4:72" x14ac:dyDescent="0.3">
      <c r="D50" t="s">
        <v>856</v>
      </c>
      <c r="J50" t="s">
        <v>942</v>
      </c>
      <c r="X50" t="s">
        <v>1013</v>
      </c>
      <c r="AH50" t="s">
        <v>1108</v>
      </c>
      <c r="AJ50" t="s">
        <v>1172</v>
      </c>
      <c r="AN50" t="s">
        <v>444</v>
      </c>
      <c r="AP50" t="s">
        <v>1258</v>
      </c>
      <c r="BF50" t="s">
        <v>624</v>
      </c>
      <c r="BJ50" t="s">
        <v>1489</v>
      </c>
      <c r="BP50" t="s">
        <v>1590</v>
      </c>
      <c r="BR50" t="s">
        <v>1694</v>
      </c>
      <c r="BT50" t="s">
        <v>1743</v>
      </c>
    </row>
    <row r="51" spans="4:72" x14ac:dyDescent="0.3">
      <c r="D51" t="s">
        <v>857</v>
      </c>
      <c r="J51" t="s">
        <v>943</v>
      </c>
      <c r="X51" t="s">
        <v>1014</v>
      </c>
      <c r="AH51" t="s">
        <v>1109</v>
      </c>
      <c r="AJ51" t="s">
        <v>1173</v>
      </c>
      <c r="AN51" t="s">
        <v>1207</v>
      </c>
      <c r="AP51" t="s">
        <v>1259</v>
      </c>
      <c r="BF51" t="s">
        <v>1423</v>
      </c>
      <c r="BJ51" t="s">
        <v>653</v>
      </c>
      <c r="BP51" t="s">
        <v>1591</v>
      </c>
      <c r="BR51" t="s">
        <v>786</v>
      </c>
      <c r="BT51" t="s">
        <v>1744</v>
      </c>
    </row>
    <row r="52" spans="4:72" x14ac:dyDescent="0.3">
      <c r="D52" t="s">
        <v>858</v>
      </c>
      <c r="J52" t="s">
        <v>195</v>
      </c>
      <c r="X52" t="s">
        <v>1015</v>
      </c>
      <c r="AH52" t="s">
        <v>1110</v>
      </c>
      <c r="AJ52" t="s">
        <v>405</v>
      </c>
      <c r="AN52" t="s">
        <v>1208</v>
      </c>
      <c r="AP52" t="s">
        <v>1260</v>
      </c>
      <c r="BF52" t="s">
        <v>1424</v>
      </c>
      <c r="BJ52" t="s">
        <v>1490</v>
      </c>
      <c r="BP52" t="s">
        <v>1592</v>
      </c>
      <c r="BR52" t="s">
        <v>948</v>
      </c>
      <c r="BT52" t="s">
        <v>1745</v>
      </c>
    </row>
    <row r="53" spans="4:72" x14ac:dyDescent="0.3">
      <c r="D53" t="s">
        <v>859</v>
      </c>
      <c r="J53" t="s">
        <v>944</v>
      </c>
      <c r="X53" t="s">
        <v>1016</v>
      </c>
      <c r="AH53" t="s">
        <v>1111</v>
      </c>
      <c r="AJ53" t="s">
        <v>405</v>
      </c>
      <c r="AN53" t="s">
        <v>445</v>
      </c>
      <c r="AP53" t="s">
        <v>1261</v>
      </c>
      <c r="BF53" t="s">
        <v>1425</v>
      </c>
      <c r="BJ53" t="s">
        <v>1491</v>
      </c>
      <c r="BP53" t="s">
        <v>1593</v>
      </c>
      <c r="BR53" t="s">
        <v>948</v>
      </c>
      <c r="BT53" t="s">
        <v>1746</v>
      </c>
    </row>
    <row r="54" spans="4:72" x14ac:dyDescent="0.3">
      <c r="D54" t="s">
        <v>860</v>
      </c>
      <c r="J54" t="s">
        <v>196</v>
      </c>
      <c r="X54" t="s">
        <v>317</v>
      </c>
      <c r="AH54" t="s">
        <v>1112</v>
      </c>
      <c r="AJ54" t="s">
        <v>1174</v>
      </c>
      <c r="AN54" t="s">
        <v>1209</v>
      </c>
      <c r="AP54" t="s">
        <v>1262</v>
      </c>
      <c r="BF54" t="s">
        <v>1426</v>
      </c>
      <c r="BJ54" t="s">
        <v>1492</v>
      </c>
      <c r="BP54" t="s">
        <v>1594</v>
      </c>
      <c r="BR54" t="s">
        <v>1695</v>
      </c>
      <c r="BT54" t="s">
        <v>1747</v>
      </c>
    </row>
    <row r="55" spans="4:72" x14ac:dyDescent="0.3">
      <c r="D55" t="s">
        <v>861</v>
      </c>
      <c r="J55" t="s">
        <v>945</v>
      </c>
      <c r="X55" t="s">
        <v>1017</v>
      </c>
      <c r="AH55" t="s">
        <v>1113</v>
      </c>
      <c r="AJ55" t="s">
        <v>1175</v>
      </c>
      <c r="AN55" t="s">
        <v>446</v>
      </c>
      <c r="AP55" t="s">
        <v>1263</v>
      </c>
      <c r="BF55" t="s">
        <v>1427</v>
      </c>
      <c r="BJ55" t="s">
        <v>1493</v>
      </c>
      <c r="BP55" t="s">
        <v>1595</v>
      </c>
      <c r="BR55" t="s">
        <v>787</v>
      </c>
      <c r="BT55" t="s">
        <v>1748</v>
      </c>
    </row>
    <row r="56" spans="4:72" x14ac:dyDescent="0.3">
      <c r="D56" t="s">
        <v>862</v>
      </c>
      <c r="J56" t="s">
        <v>197</v>
      </c>
      <c r="X56" t="s">
        <v>1018</v>
      </c>
      <c r="AH56" t="s">
        <v>1114</v>
      </c>
      <c r="AJ56" t="s">
        <v>1176</v>
      </c>
      <c r="AN56" t="s">
        <v>1210</v>
      </c>
      <c r="AP56" t="s">
        <v>482</v>
      </c>
      <c r="BF56" t="s">
        <v>1428</v>
      </c>
      <c r="BJ56" t="s">
        <v>1494</v>
      </c>
      <c r="BP56" t="s">
        <v>1596</v>
      </c>
      <c r="BR56" t="s">
        <v>1696</v>
      </c>
      <c r="BT56" t="s">
        <v>1749</v>
      </c>
    </row>
    <row r="57" spans="4:72" x14ac:dyDescent="0.3">
      <c r="D57" t="s">
        <v>863</v>
      </c>
      <c r="J57" t="s">
        <v>946</v>
      </c>
      <c r="X57" t="s">
        <v>1019</v>
      </c>
      <c r="AH57" t="s">
        <v>1115</v>
      </c>
      <c r="AJ57" t="s">
        <v>1177</v>
      </c>
      <c r="AN57" t="s">
        <v>1211</v>
      </c>
      <c r="AP57" t="s">
        <v>1264</v>
      </c>
      <c r="BF57" t="s">
        <v>1429</v>
      </c>
      <c r="BJ57" t="s">
        <v>1495</v>
      </c>
      <c r="BP57" t="s">
        <v>1597</v>
      </c>
      <c r="BR57" t="s">
        <v>1697</v>
      </c>
      <c r="BT57" t="s">
        <v>1750</v>
      </c>
    </row>
    <row r="58" spans="4:72" x14ac:dyDescent="0.3">
      <c r="D58" t="s">
        <v>864</v>
      </c>
      <c r="J58" t="s">
        <v>947</v>
      </c>
      <c r="X58" t="s">
        <v>283</v>
      </c>
      <c r="AH58" t="s">
        <v>1116</v>
      </c>
      <c r="AJ58" t="s">
        <v>1178</v>
      </c>
      <c r="AN58" t="s">
        <v>1212</v>
      </c>
      <c r="AP58" t="s">
        <v>1265</v>
      </c>
      <c r="BF58" t="s">
        <v>1430</v>
      </c>
      <c r="BJ58" t="s">
        <v>1496</v>
      </c>
      <c r="BP58" t="s">
        <v>1598</v>
      </c>
      <c r="BR58" t="s">
        <v>1698</v>
      </c>
      <c r="BT58" t="s">
        <v>1751</v>
      </c>
    </row>
    <row r="59" spans="4:72" x14ac:dyDescent="0.3">
      <c r="D59" t="s">
        <v>865</v>
      </c>
      <c r="J59" t="s">
        <v>948</v>
      </c>
      <c r="X59" t="s">
        <v>1020</v>
      </c>
      <c r="AH59" t="s">
        <v>388</v>
      </c>
      <c r="AN59" t="s">
        <v>447</v>
      </c>
      <c r="AP59" t="s">
        <v>1266</v>
      </c>
      <c r="BF59" t="s">
        <v>1431</v>
      </c>
      <c r="BJ59" t="s">
        <v>1497</v>
      </c>
      <c r="BP59" t="s">
        <v>1599</v>
      </c>
      <c r="BR59" t="s">
        <v>775</v>
      </c>
    </row>
    <row r="60" spans="4:72" x14ac:dyDescent="0.3">
      <c r="D60" t="s">
        <v>866</v>
      </c>
      <c r="J60" t="s">
        <v>949</v>
      </c>
      <c r="X60" t="s">
        <v>1021</v>
      </c>
      <c r="AH60" t="s">
        <v>1117</v>
      </c>
      <c r="AN60" t="s">
        <v>1213</v>
      </c>
      <c r="AP60" t="s">
        <v>483</v>
      </c>
      <c r="BF60" t="s">
        <v>1432</v>
      </c>
      <c r="BJ60" t="s">
        <v>654</v>
      </c>
      <c r="BP60" t="s">
        <v>1600</v>
      </c>
      <c r="BR60" t="s">
        <v>1699</v>
      </c>
    </row>
    <row r="61" spans="4:72" x14ac:dyDescent="0.3">
      <c r="D61" t="s">
        <v>867</v>
      </c>
      <c r="J61" t="s">
        <v>950</v>
      </c>
      <c r="X61" t="s">
        <v>1022</v>
      </c>
      <c r="AH61" t="s">
        <v>1118</v>
      </c>
      <c r="AN61" t="s">
        <v>448</v>
      </c>
      <c r="AP61" t="s">
        <v>1267</v>
      </c>
      <c r="BF61" t="s">
        <v>1433</v>
      </c>
      <c r="BJ61" t="s">
        <v>1498</v>
      </c>
      <c r="BP61" t="s">
        <v>1601</v>
      </c>
      <c r="BR61" t="s">
        <v>1700</v>
      </c>
    </row>
    <row r="62" spans="4:72" x14ac:dyDescent="0.3">
      <c r="D62" t="s">
        <v>868</v>
      </c>
      <c r="J62" t="s">
        <v>951</v>
      </c>
      <c r="X62" t="s">
        <v>1023</v>
      </c>
      <c r="AH62" t="s">
        <v>1119</v>
      </c>
      <c r="AN62" t="s">
        <v>1214</v>
      </c>
      <c r="AP62" t="s">
        <v>1268</v>
      </c>
      <c r="BF62" t="s">
        <v>1434</v>
      </c>
      <c r="BJ62" t="s">
        <v>1499</v>
      </c>
      <c r="BP62" t="s">
        <v>1602</v>
      </c>
      <c r="BR62" t="s">
        <v>790</v>
      </c>
    </row>
    <row r="63" spans="4:72" x14ac:dyDescent="0.3">
      <c r="D63" t="s">
        <v>869</v>
      </c>
      <c r="J63" t="s">
        <v>199</v>
      </c>
      <c r="X63" t="s">
        <v>1024</v>
      </c>
      <c r="AH63" t="s">
        <v>1120</v>
      </c>
      <c r="AN63" t="s">
        <v>449</v>
      </c>
      <c r="AP63" t="s">
        <v>1269</v>
      </c>
      <c r="BF63" t="s">
        <v>1435</v>
      </c>
      <c r="BJ63" t="s">
        <v>1500</v>
      </c>
      <c r="BP63" t="s">
        <v>765</v>
      </c>
      <c r="BR63" t="s">
        <v>1701</v>
      </c>
    </row>
    <row r="64" spans="4:72" x14ac:dyDescent="0.3">
      <c r="D64" t="s">
        <v>870</v>
      </c>
      <c r="J64" t="s">
        <v>200</v>
      </c>
      <c r="X64" t="s">
        <v>1025</v>
      </c>
      <c r="AH64" t="s">
        <v>1121</v>
      </c>
      <c r="AN64" t="s">
        <v>1215</v>
      </c>
      <c r="AP64" t="s">
        <v>1270</v>
      </c>
      <c r="BF64" t="s">
        <v>1436</v>
      </c>
      <c r="BJ64" t="s">
        <v>1501</v>
      </c>
      <c r="BP64" t="s">
        <v>1603</v>
      </c>
    </row>
    <row r="65" spans="4:68" x14ac:dyDescent="0.3">
      <c r="D65" t="s">
        <v>871</v>
      </c>
      <c r="J65" t="s">
        <v>952</v>
      </c>
      <c r="X65" t="s">
        <v>1026</v>
      </c>
      <c r="AH65" t="s">
        <v>1122</v>
      </c>
      <c r="AN65" t="s">
        <v>450</v>
      </c>
      <c r="AP65" t="s">
        <v>1271</v>
      </c>
      <c r="BF65" t="s">
        <v>1436</v>
      </c>
      <c r="BJ65" t="s">
        <v>1502</v>
      </c>
      <c r="BP65" t="s">
        <v>1604</v>
      </c>
    </row>
    <row r="66" spans="4:68" x14ac:dyDescent="0.3">
      <c r="D66" t="s">
        <v>872</v>
      </c>
      <c r="J66" t="s">
        <v>202</v>
      </c>
      <c r="AH66" t="s">
        <v>1123</v>
      </c>
      <c r="AN66" t="s">
        <v>451</v>
      </c>
      <c r="AP66" t="s">
        <v>1272</v>
      </c>
      <c r="BF66" t="s">
        <v>1437</v>
      </c>
      <c r="BJ66" t="s">
        <v>1503</v>
      </c>
      <c r="BP66" t="s">
        <v>1605</v>
      </c>
    </row>
    <row r="67" spans="4:68" x14ac:dyDescent="0.3">
      <c r="D67" t="s">
        <v>873</v>
      </c>
      <c r="J67" t="s">
        <v>203</v>
      </c>
      <c r="AH67" t="s">
        <v>1124</v>
      </c>
      <c r="AN67" t="s">
        <v>1216</v>
      </c>
      <c r="AP67" t="s">
        <v>1273</v>
      </c>
      <c r="BF67" t="s">
        <v>625</v>
      </c>
      <c r="BJ67" t="s">
        <v>659</v>
      </c>
      <c r="BP67" t="s">
        <v>1606</v>
      </c>
    </row>
    <row r="68" spans="4:68" x14ac:dyDescent="0.3">
      <c r="D68" t="s">
        <v>874</v>
      </c>
      <c r="J68" t="s">
        <v>953</v>
      </c>
      <c r="AH68" t="s">
        <v>1125</v>
      </c>
      <c r="AN68" t="s">
        <v>452</v>
      </c>
      <c r="AP68" t="s">
        <v>1274</v>
      </c>
      <c r="BF68" t="s">
        <v>627</v>
      </c>
      <c r="BJ68" t="s">
        <v>1504</v>
      </c>
      <c r="BP68" t="s">
        <v>1607</v>
      </c>
    </row>
    <row r="69" spans="4:68" x14ac:dyDescent="0.3">
      <c r="D69" t="s">
        <v>875</v>
      </c>
      <c r="J69" t="s">
        <v>954</v>
      </c>
      <c r="AH69" t="s">
        <v>1126</v>
      </c>
      <c r="AN69" t="s">
        <v>453</v>
      </c>
      <c r="AP69" t="s">
        <v>1275</v>
      </c>
      <c r="BF69" t="s">
        <v>1438</v>
      </c>
      <c r="BJ69" t="s">
        <v>1505</v>
      </c>
      <c r="BP69" t="s">
        <v>1608</v>
      </c>
    </row>
    <row r="70" spans="4:68" x14ac:dyDescent="0.3">
      <c r="D70" t="s">
        <v>876</v>
      </c>
      <c r="J70" t="s">
        <v>204</v>
      </c>
      <c r="AH70" t="s">
        <v>1127</v>
      </c>
      <c r="AN70" t="s">
        <v>1217</v>
      </c>
      <c r="AP70" t="s">
        <v>1276</v>
      </c>
      <c r="BF70" t="s">
        <v>1439</v>
      </c>
      <c r="BJ70" t="s">
        <v>1506</v>
      </c>
      <c r="BP70" t="s">
        <v>1609</v>
      </c>
    </row>
    <row r="71" spans="4:68" x14ac:dyDescent="0.3">
      <c r="D71" t="s">
        <v>877</v>
      </c>
      <c r="J71" t="s">
        <v>205</v>
      </c>
      <c r="AH71" t="s">
        <v>1128</v>
      </c>
      <c r="AN71" t="s">
        <v>454</v>
      </c>
      <c r="AP71" t="s">
        <v>484</v>
      </c>
      <c r="BF71" t="s">
        <v>1440</v>
      </c>
      <c r="BJ71" t="s">
        <v>1507</v>
      </c>
      <c r="BP71" t="s">
        <v>1610</v>
      </c>
    </row>
    <row r="72" spans="4:68" x14ac:dyDescent="0.3">
      <c r="D72" t="s">
        <v>878</v>
      </c>
      <c r="J72" t="s">
        <v>955</v>
      </c>
      <c r="AH72" t="s">
        <v>1129</v>
      </c>
      <c r="AN72" t="s">
        <v>1218</v>
      </c>
      <c r="AP72" t="s">
        <v>1277</v>
      </c>
      <c r="BF72" t="s">
        <v>1441</v>
      </c>
      <c r="BJ72" t="s">
        <v>1508</v>
      </c>
      <c r="BP72" t="s">
        <v>1611</v>
      </c>
    </row>
    <row r="73" spans="4:68" x14ac:dyDescent="0.3">
      <c r="D73" t="s">
        <v>109</v>
      </c>
      <c r="J73" t="s">
        <v>956</v>
      </c>
      <c r="AH73" t="s">
        <v>1130</v>
      </c>
      <c r="AN73" t="s">
        <v>455</v>
      </c>
      <c r="AP73" t="s">
        <v>1278</v>
      </c>
      <c r="BF73" t="s">
        <v>1442</v>
      </c>
      <c r="BJ73" t="s">
        <v>1509</v>
      </c>
      <c r="BP73" t="s">
        <v>1612</v>
      </c>
    </row>
    <row r="74" spans="4:68" x14ac:dyDescent="0.3">
      <c r="D74" t="s">
        <v>879</v>
      </c>
      <c r="J74" t="s">
        <v>957</v>
      </c>
      <c r="AH74" t="s">
        <v>1131</v>
      </c>
      <c r="AN74" t="s">
        <v>1219</v>
      </c>
      <c r="AP74" t="s">
        <v>1279</v>
      </c>
      <c r="BF74" t="s">
        <v>1443</v>
      </c>
      <c r="BJ74" t="s">
        <v>1510</v>
      </c>
      <c r="BP74" t="s">
        <v>766</v>
      </c>
    </row>
    <row r="75" spans="4:68" x14ac:dyDescent="0.3">
      <c r="D75" t="s">
        <v>880</v>
      </c>
      <c r="J75" t="s">
        <v>206</v>
      </c>
      <c r="AH75" t="s">
        <v>1132</v>
      </c>
      <c r="AN75" t="s">
        <v>1220</v>
      </c>
      <c r="AP75" t="s">
        <v>1280</v>
      </c>
      <c r="BF75" t="s">
        <v>1444</v>
      </c>
      <c r="BJ75" t="s">
        <v>1511</v>
      </c>
      <c r="BP75" t="s">
        <v>1613</v>
      </c>
    </row>
    <row r="76" spans="4:68" x14ac:dyDescent="0.3">
      <c r="D76" t="s">
        <v>881</v>
      </c>
      <c r="J76" t="s">
        <v>958</v>
      </c>
      <c r="AH76" t="s">
        <v>390</v>
      </c>
      <c r="AN76" t="s">
        <v>1221</v>
      </c>
      <c r="AP76" t="s">
        <v>1281</v>
      </c>
      <c r="BF76" t="s">
        <v>1445</v>
      </c>
      <c r="BJ76" t="s">
        <v>660</v>
      </c>
      <c r="BP76" t="s">
        <v>1614</v>
      </c>
    </row>
    <row r="77" spans="4:68" x14ac:dyDescent="0.3">
      <c r="D77" t="s">
        <v>882</v>
      </c>
      <c r="AH77" t="s">
        <v>392</v>
      </c>
      <c r="AN77" t="s">
        <v>456</v>
      </c>
      <c r="AP77" t="s">
        <v>486</v>
      </c>
      <c r="BF77" t="s">
        <v>1446</v>
      </c>
      <c r="BJ77" t="s">
        <v>1512</v>
      </c>
      <c r="BP77" t="s">
        <v>1615</v>
      </c>
    </row>
    <row r="78" spans="4:68" x14ac:dyDescent="0.3">
      <c r="D78" t="s">
        <v>883</v>
      </c>
      <c r="AH78" t="s">
        <v>1133</v>
      </c>
      <c r="AN78" t="s">
        <v>457</v>
      </c>
      <c r="AP78" t="s">
        <v>1282</v>
      </c>
      <c r="BF78" t="s">
        <v>1447</v>
      </c>
      <c r="BJ78" t="s">
        <v>1513</v>
      </c>
      <c r="BP78" t="s">
        <v>1616</v>
      </c>
    </row>
    <row r="79" spans="4:68" x14ac:dyDescent="0.3">
      <c r="D79" t="s">
        <v>884</v>
      </c>
      <c r="AH79" t="s">
        <v>393</v>
      </c>
      <c r="AN79" t="s">
        <v>458</v>
      </c>
      <c r="AP79" t="s">
        <v>1283</v>
      </c>
      <c r="BF79" t="s">
        <v>629</v>
      </c>
      <c r="BJ79" t="s">
        <v>1514</v>
      </c>
      <c r="BP79" t="s">
        <v>1617</v>
      </c>
    </row>
    <row r="80" spans="4:68" x14ac:dyDescent="0.3">
      <c r="D80" t="s">
        <v>885</v>
      </c>
      <c r="AN80" t="s">
        <v>1222</v>
      </c>
      <c r="AP80" t="s">
        <v>1284</v>
      </c>
      <c r="BF80" t="s">
        <v>1448</v>
      </c>
      <c r="BJ80" t="s">
        <v>1515</v>
      </c>
      <c r="BP80" t="s">
        <v>767</v>
      </c>
    </row>
    <row r="81" spans="4:68" x14ac:dyDescent="0.3">
      <c r="D81" t="s">
        <v>886</v>
      </c>
      <c r="AN81" t="s">
        <v>1223</v>
      </c>
      <c r="AP81" t="s">
        <v>1285</v>
      </c>
      <c r="BF81" t="s">
        <v>1449</v>
      </c>
      <c r="BJ81" t="s">
        <v>656</v>
      </c>
      <c r="BP81" t="s">
        <v>1618</v>
      </c>
    </row>
    <row r="82" spans="4:68" x14ac:dyDescent="0.3">
      <c r="D82" t="s">
        <v>887</v>
      </c>
      <c r="AP82" t="s">
        <v>1286</v>
      </c>
      <c r="BJ82" t="s">
        <v>1516</v>
      </c>
      <c r="BP82" t="s">
        <v>1619</v>
      </c>
    </row>
    <row r="83" spans="4:68" x14ac:dyDescent="0.3">
      <c r="D83" t="s">
        <v>888</v>
      </c>
      <c r="AP83" t="s">
        <v>1287</v>
      </c>
      <c r="BJ83" t="s">
        <v>1517</v>
      </c>
      <c r="BP83" t="s">
        <v>1620</v>
      </c>
    </row>
    <row r="84" spans="4:68" x14ac:dyDescent="0.3">
      <c r="D84" t="s">
        <v>889</v>
      </c>
      <c r="AP84" t="s">
        <v>1288</v>
      </c>
      <c r="BJ84" t="s">
        <v>658</v>
      </c>
      <c r="BP84" t="s">
        <v>1621</v>
      </c>
    </row>
    <row r="85" spans="4:68" x14ac:dyDescent="0.3">
      <c r="D85" t="s">
        <v>890</v>
      </c>
      <c r="AP85" t="s">
        <v>1289</v>
      </c>
      <c r="BJ85" t="s">
        <v>1518</v>
      </c>
      <c r="BP85" t="s">
        <v>1622</v>
      </c>
    </row>
    <row r="86" spans="4:68" x14ac:dyDescent="0.3">
      <c r="D86" t="s">
        <v>891</v>
      </c>
      <c r="AP86" t="s">
        <v>488</v>
      </c>
      <c r="BJ86" t="s">
        <v>1519</v>
      </c>
      <c r="BP86" t="s">
        <v>1623</v>
      </c>
    </row>
    <row r="87" spans="4:68" x14ac:dyDescent="0.3">
      <c r="D87" t="s">
        <v>892</v>
      </c>
      <c r="AP87" t="s">
        <v>1290</v>
      </c>
      <c r="BJ87" t="s">
        <v>1520</v>
      </c>
      <c r="BP87" t="s">
        <v>1624</v>
      </c>
    </row>
    <row r="88" spans="4:68" x14ac:dyDescent="0.3">
      <c r="D88" t="s">
        <v>110</v>
      </c>
      <c r="AP88" t="s">
        <v>1291</v>
      </c>
      <c r="BJ88" t="s">
        <v>1521</v>
      </c>
      <c r="BP88" t="s">
        <v>1625</v>
      </c>
    </row>
    <row r="89" spans="4:68" x14ac:dyDescent="0.3">
      <c r="D89" t="s">
        <v>893</v>
      </c>
      <c r="AP89" t="s">
        <v>1292</v>
      </c>
      <c r="BJ89" t="s">
        <v>1522</v>
      </c>
      <c r="BP89" t="s">
        <v>1626</v>
      </c>
    </row>
    <row r="90" spans="4:68" x14ac:dyDescent="0.3">
      <c r="D90" t="s">
        <v>894</v>
      </c>
      <c r="AP90" t="s">
        <v>1293</v>
      </c>
      <c r="BJ90" t="s">
        <v>1523</v>
      </c>
      <c r="BP90" t="s">
        <v>1627</v>
      </c>
    </row>
    <row r="91" spans="4:68" x14ac:dyDescent="0.3">
      <c r="D91" t="s">
        <v>895</v>
      </c>
      <c r="AP91" t="s">
        <v>1294</v>
      </c>
      <c r="BJ91" t="s">
        <v>1524</v>
      </c>
      <c r="BP91" t="s">
        <v>769</v>
      </c>
    </row>
    <row r="92" spans="4:68" x14ac:dyDescent="0.3">
      <c r="D92" t="s">
        <v>896</v>
      </c>
      <c r="AP92" t="s">
        <v>1295</v>
      </c>
      <c r="BJ92" t="s">
        <v>1525</v>
      </c>
      <c r="BP92" t="s">
        <v>770</v>
      </c>
    </row>
    <row r="93" spans="4:68" x14ac:dyDescent="0.3">
      <c r="AP93" t="s">
        <v>1296</v>
      </c>
      <c r="BJ93" t="s">
        <v>1526</v>
      </c>
      <c r="BP93" t="s">
        <v>1628</v>
      </c>
    </row>
    <row r="94" spans="4:68" x14ac:dyDescent="0.3">
      <c r="AP94" t="s">
        <v>1297</v>
      </c>
      <c r="BJ94" t="s">
        <v>1527</v>
      </c>
      <c r="BP94" t="s">
        <v>1629</v>
      </c>
    </row>
    <row r="95" spans="4:68" x14ac:dyDescent="0.3">
      <c r="AP95" t="s">
        <v>1298</v>
      </c>
      <c r="BJ95" t="s">
        <v>1528</v>
      </c>
      <c r="BP95" t="s">
        <v>1630</v>
      </c>
    </row>
    <row r="96" spans="4:68" x14ac:dyDescent="0.3">
      <c r="AP96" t="s">
        <v>1299</v>
      </c>
      <c r="BJ96" t="s">
        <v>1529</v>
      </c>
      <c r="BP96" t="s">
        <v>1631</v>
      </c>
    </row>
    <row r="97" spans="42:68" x14ac:dyDescent="0.3">
      <c r="AP97" t="s">
        <v>1300</v>
      </c>
      <c r="BJ97" t="s">
        <v>1530</v>
      </c>
      <c r="BP97" t="s">
        <v>1632</v>
      </c>
    </row>
    <row r="98" spans="42:68" x14ac:dyDescent="0.3">
      <c r="AP98" t="s">
        <v>1301</v>
      </c>
      <c r="BJ98" t="s">
        <v>1531</v>
      </c>
      <c r="BP98" t="s">
        <v>1633</v>
      </c>
    </row>
    <row r="99" spans="42:68" x14ac:dyDescent="0.3">
      <c r="AP99" t="s">
        <v>490</v>
      </c>
      <c r="BJ99" t="s">
        <v>1532</v>
      </c>
      <c r="BP99" t="s">
        <v>1634</v>
      </c>
    </row>
    <row r="100" spans="42:68" x14ac:dyDescent="0.3">
      <c r="AP100" t="s">
        <v>1302</v>
      </c>
      <c r="BJ100" t="s">
        <v>1533</v>
      </c>
      <c r="BP100" t="s">
        <v>1635</v>
      </c>
    </row>
    <row r="101" spans="42:68" x14ac:dyDescent="0.3">
      <c r="AP101" t="s">
        <v>1303</v>
      </c>
      <c r="BJ101" t="s">
        <v>1534</v>
      </c>
      <c r="BP101" t="s">
        <v>1636</v>
      </c>
    </row>
    <row r="102" spans="42:68" x14ac:dyDescent="0.3">
      <c r="AP102" t="s">
        <v>1304</v>
      </c>
      <c r="BJ102" t="s">
        <v>1535</v>
      </c>
      <c r="BP102" t="s">
        <v>1637</v>
      </c>
    </row>
    <row r="103" spans="42:68" x14ac:dyDescent="0.3">
      <c r="AP103" t="s">
        <v>1305</v>
      </c>
      <c r="BJ103" t="s">
        <v>1536</v>
      </c>
      <c r="BP103" t="s">
        <v>1638</v>
      </c>
    </row>
    <row r="104" spans="42:68" x14ac:dyDescent="0.3">
      <c r="AP104" t="s">
        <v>491</v>
      </c>
      <c r="BJ104" t="s">
        <v>664</v>
      </c>
      <c r="BP104" t="s">
        <v>1123</v>
      </c>
    </row>
    <row r="105" spans="42:68" x14ac:dyDescent="0.3">
      <c r="AP105" t="s">
        <v>491</v>
      </c>
      <c r="BJ105" t="s">
        <v>1537</v>
      </c>
      <c r="BP105" t="s">
        <v>1639</v>
      </c>
    </row>
    <row r="106" spans="42:68" x14ac:dyDescent="0.3">
      <c r="AP106" t="s">
        <v>1306</v>
      </c>
      <c r="BJ106" t="s">
        <v>665</v>
      </c>
      <c r="BP106" t="s">
        <v>1640</v>
      </c>
    </row>
    <row r="107" spans="42:68" x14ac:dyDescent="0.3">
      <c r="AP107" t="s">
        <v>1307</v>
      </c>
      <c r="BJ107" t="s">
        <v>1538</v>
      </c>
      <c r="BP107" t="s">
        <v>1442</v>
      </c>
    </row>
    <row r="108" spans="42:68" x14ac:dyDescent="0.3">
      <c r="AP108" t="s">
        <v>1308</v>
      </c>
      <c r="BJ108" t="s">
        <v>666</v>
      </c>
      <c r="BP108" t="s">
        <v>1641</v>
      </c>
    </row>
    <row r="109" spans="42:68" x14ac:dyDescent="0.3">
      <c r="AP109" t="s">
        <v>1309</v>
      </c>
      <c r="BJ109" t="s">
        <v>1539</v>
      </c>
      <c r="BP109" t="s">
        <v>1642</v>
      </c>
    </row>
    <row r="110" spans="42:68" x14ac:dyDescent="0.3">
      <c r="AP110" t="s">
        <v>1310</v>
      </c>
      <c r="BJ110" t="s">
        <v>1519</v>
      </c>
      <c r="BP110" t="s">
        <v>1643</v>
      </c>
    </row>
    <row r="111" spans="42:68" x14ac:dyDescent="0.3">
      <c r="AP111" t="s">
        <v>1311</v>
      </c>
      <c r="BP111" t="s">
        <v>1644</v>
      </c>
    </row>
    <row r="112" spans="42:68" x14ac:dyDescent="0.3">
      <c r="AP112" t="s">
        <v>1312</v>
      </c>
      <c r="BP112" t="s">
        <v>1645</v>
      </c>
    </row>
    <row r="113" spans="42:68" x14ac:dyDescent="0.3">
      <c r="AP113" t="s">
        <v>1313</v>
      </c>
      <c r="BP113" t="s">
        <v>1646</v>
      </c>
    </row>
    <row r="114" spans="42:68" x14ac:dyDescent="0.3">
      <c r="AP114" t="s">
        <v>1314</v>
      </c>
      <c r="BP114" t="s">
        <v>1647</v>
      </c>
    </row>
    <row r="115" spans="42:68" x14ac:dyDescent="0.3">
      <c r="AP115" t="s">
        <v>1315</v>
      </c>
      <c r="BP115" t="s">
        <v>1648</v>
      </c>
    </row>
    <row r="116" spans="42:68" x14ac:dyDescent="0.3">
      <c r="AP116" t="s">
        <v>1316</v>
      </c>
      <c r="BP116" t="s">
        <v>776</v>
      </c>
    </row>
    <row r="117" spans="42:68" x14ac:dyDescent="0.3">
      <c r="AP117" t="s">
        <v>1317</v>
      </c>
      <c r="BP117" t="s">
        <v>1649</v>
      </c>
    </row>
    <row r="118" spans="42:68" x14ac:dyDescent="0.3">
      <c r="AP118" t="s">
        <v>1318</v>
      </c>
      <c r="BP118" t="s">
        <v>777</v>
      </c>
    </row>
    <row r="119" spans="42:68" x14ac:dyDescent="0.3">
      <c r="AP119" t="s">
        <v>1319</v>
      </c>
      <c r="BP119" t="s">
        <v>1650</v>
      </c>
    </row>
    <row r="120" spans="42:68" x14ac:dyDescent="0.3">
      <c r="AP120" t="s">
        <v>1320</v>
      </c>
      <c r="BP120" t="s">
        <v>1651</v>
      </c>
    </row>
    <row r="121" spans="42:68" x14ac:dyDescent="0.3">
      <c r="AP121" t="s">
        <v>1321</v>
      </c>
      <c r="BP121" t="s">
        <v>1652</v>
      </c>
    </row>
    <row r="122" spans="42:68" x14ac:dyDescent="0.3">
      <c r="AP122" t="s">
        <v>1322</v>
      </c>
      <c r="BP122" t="s">
        <v>1653</v>
      </c>
    </row>
    <row r="123" spans="42:68" x14ac:dyDescent="0.3">
      <c r="AP123" t="s">
        <v>1323</v>
      </c>
    </row>
    <row r="124" spans="42:68" x14ac:dyDescent="0.3">
      <c r="AP124" t="s">
        <v>1324</v>
      </c>
    </row>
    <row r="125" spans="42:68" x14ac:dyDescent="0.3">
      <c r="AP125" t="s">
        <v>493</v>
      </c>
    </row>
    <row r="126" spans="42:68" x14ac:dyDescent="0.3">
      <c r="AP126" t="s">
        <v>1325</v>
      </c>
    </row>
    <row r="127" spans="42:68" x14ac:dyDescent="0.3">
      <c r="AP127" t="s">
        <v>1326</v>
      </c>
    </row>
  </sheetData>
  <pageMargins left="0.7" right="0.7" top="0.75" bottom="0.75" header="0.3" footer="0.3"/>
  <tableParts count="3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T77"/>
  <sheetViews>
    <sheetView showGridLines="0" workbookViewId="0">
      <selection activeCell="A2" sqref="A2"/>
    </sheetView>
  </sheetViews>
  <sheetFormatPr defaultRowHeight="14.4" x14ac:dyDescent="0.3"/>
  <cols>
    <col min="1" max="1" width="0.88671875" customWidth="1"/>
    <col min="2" max="2" width="26.5546875" customWidth="1"/>
    <col min="3" max="3" width="0.88671875" customWidth="1"/>
    <col min="4" max="4" width="17.6640625" customWidth="1"/>
    <col min="5" max="5" width="0.88671875" customWidth="1"/>
    <col min="6" max="6" width="20.109375" customWidth="1"/>
    <col min="7" max="7" width="0.88671875" customWidth="1"/>
    <col min="9" max="9" width="0.88671875" customWidth="1"/>
    <col min="11" max="11" width="0.88671875" customWidth="1"/>
    <col min="12" max="12" width="13.109375" customWidth="1"/>
    <col min="13" max="13" width="0.88671875" customWidth="1"/>
    <col min="14" max="14" width="14.33203125" customWidth="1"/>
    <col min="15" max="15" width="0.88671875" customWidth="1"/>
    <col min="16" max="16" width="21" customWidth="1"/>
    <col min="17" max="17" width="0.88671875" customWidth="1"/>
    <col min="18" max="18" width="13.33203125" customWidth="1"/>
    <col min="19" max="19" width="0.88671875" customWidth="1"/>
    <col min="21" max="21" width="0.88671875" customWidth="1"/>
    <col min="22" max="22" width="10" bestFit="1" customWidth="1"/>
    <col min="23" max="23" width="0.88671875" customWidth="1"/>
    <col min="24" max="24" width="9.6640625" customWidth="1"/>
    <col min="25" max="25" width="0.88671875" customWidth="1"/>
    <col min="26" max="26" width="10.33203125" customWidth="1"/>
    <col min="27" max="27" width="0.88671875" customWidth="1"/>
    <col min="28" max="28" width="19.44140625" customWidth="1"/>
    <col min="29" max="29" width="0.88671875" customWidth="1"/>
    <col min="30" max="30" width="17.5546875" customWidth="1"/>
    <col min="31" max="31" width="0.88671875" customWidth="1"/>
    <col min="32" max="32" width="12.109375" customWidth="1"/>
    <col min="33" max="33" width="0.88671875" customWidth="1"/>
    <col min="34" max="34" width="11.88671875" customWidth="1"/>
    <col min="35" max="35" width="0.88671875" customWidth="1"/>
    <col min="37" max="37" width="0.88671875" customWidth="1"/>
    <col min="38" max="38" width="15.109375" customWidth="1"/>
    <col min="39" max="39" width="0.88671875" customWidth="1"/>
    <col min="40" max="40" width="18.44140625" customWidth="1"/>
    <col min="41" max="41" width="0.88671875" customWidth="1"/>
    <col min="42" max="42" width="14.33203125" customWidth="1"/>
    <col min="43" max="43" width="0.88671875" customWidth="1"/>
    <col min="44" max="44" width="10.6640625" customWidth="1"/>
    <col min="45" max="45" width="0.88671875" customWidth="1"/>
    <col min="46" max="46" width="12.88671875" customWidth="1"/>
    <col min="47" max="47" width="0.88671875" customWidth="1"/>
    <col min="48" max="48" width="11" customWidth="1"/>
    <col min="49" max="49" width="0.88671875" customWidth="1"/>
    <col min="50" max="50" width="11.44140625" customWidth="1"/>
    <col min="51" max="51" width="0.88671875" customWidth="1"/>
    <col min="52" max="52" width="9.33203125" customWidth="1"/>
    <col min="53" max="53" width="0.88671875" customWidth="1"/>
    <col min="54" max="54" width="13.88671875" customWidth="1"/>
    <col min="55" max="55" width="0.88671875" customWidth="1"/>
    <col min="56" max="56" width="9.33203125" customWidth="1"/>
    <col min="57" max="57" width="0.88671875" customWidth="1"/>
    <col min="58" max="58" width="11.6640625" customWidth="1"/>
    <col min="59" max="59" width="0.88671875" customWidth="1"/>
    <col min="61" max="61" width="0.88671875" customWidth="1"/>
    <col min="62" max="62" width="13.6640625" customWidth="1"/>
    <col min="63" max="63" width="0.88671875" customWidth="1"/>
    <col min="64" max="64" width="12.109375" customWidth="1"/>
    <col min="65" max="65" width="0.88671875" customWidth="1"/>
    <col min="66" max="66" width="9.44140625" customWidth="1"/>
    <col min="67" max="67" width="0.88671875" customWidth="1"/>
    <col min="68" max="68" width="15.88671875" customWidth="1"/>
    <col min="69" max="69" width="0.88671875" customWidth="1"/>
    <col min="70" max="70" width="13.44140625" customWidth="1"/>
    <col min="71" max="71" width="0.88671875" customWidth="1"/>
    <col min="72" max="72" width="14.88671875" customWidth="1"/>
  </cols>
  <sheetData>
    <row r="1" spans="2:72" ht="5.0999999999999996" customHeight="1" x14ac:dyDescent="0.3"/>
    <row r="2" spans="2:72" x14ac:dyDescent="0.3">
      <c r="B2" t="s">
        <v>82</v>
      </c>
      <c r="D2" t="s">
        <v>83</v>
      </c>
      <c r="F2" t="s">
        <v>84</v>
      </c>
      <c r="H2" t="s">
        <v>57</v>
      </c>
      <c r="J2" t="s">
        <v>58</v>
      </c>
      <c r="L2" t="s">
        <v>59</v>
      </c>
      <c r="N2" t="s">
        <v>60</v>
      </c>
      <c r="P2" t="s">
        <v>85</v>
      </c>
      <c r="R2" t="s">
        <v>86</v>
      </c>
      <c r="T2" t="s">
        <v>61</v>
      </c>
      <c r="V2" t="s">
        <v>62</v>
      </c>
      <c r="X2" t="s">
        <v>63</v>
      </c>
      <c r="Z2" t="s">
        <v>64</v>
      </c>
      <c r="AB2" t="s">
        <v>87</v>
      </c>
      <c r="AD2" t="s">
        <v>88</v>
      </c>
      <c r="AF2" t="s">
        <v>65</v>
      </c>
      <c r="AH2" t="s">
        <v>66</v>
      </c>
      <c r="AJ2" t="s">
        <v>67</v>
      </c>
      <c r="AL2" t="s">
        <v>68</v>
      </c>
      <c r="AN2" t="s">
        <v>89</v>
      </c>
      <c r="AP2" t="s">
        <v>69</v>
      </c>
      <c r="AR2" t="s">
        <v>70</v>
      </c>
      <c r="AT2" t="s">
        <v>71</v>
      </c>
      <c r="AV2" t="s">
        <v>72</v>
      </c>
      <c r="AX2" t="s">
        <v>73</v>
      </c>
      <c r="AZ2" t="s">
        <v>90</v>
      </c>
      <c r="BB2" t="s">
        <v>74</v>
      </c>
      <c r="BD2" t="s">
        <v>75</v>
      </c>
      <c r="BF2" t="s">
        <v>76</v>
      </c>
      <c r="BH2" t="s">
        <v>77</v>
      </c>
      <c r="BJ2" t="s">
        <v>91</v>
      </c>
      <c r="BL2" t="s">
        <v>92</v>
      </c>
      <c r="BN2" t="s">
        <v>78</v>
      </c>
      <c r="BP2" t="s">
        <v>93</v>
      </c>
      <c r="BR2" t="s">
        <v>79</v>
      </c>
      <c r="BT2" t="s">
        <v>96</v>
      </c>
    </row>
    <row r="3" spans="2:72" x14ac:dyDescent="0.3">
      <c r="B3" t="s">
        <v>97</v>
      </c>
      <c r="D3" t="s">
        <v>100</v>
      </c>
      <c r="F3" t="s">
        <v>113</v>
      </c>
      <c r="H3" t="s">
        <v>138</v>
      </c>
      <c r="J3" t="s">
        <v>171</v>
      </c>
      <c r="L3" t="s">
        <v>59</v>
      </c>
      <c r="N3" t="s">
        <v>209</v>
      </c>
      <c r="P3" t="s">
        <v>236</v>
      </c>
      <c r="R3" t="s">
        <v>237</v>
      </c>
      <c r="T3" t="s">
        <v>239</v>
      </c>
      <c r="V3" t="s">
        <v>250</v>
      </c>
      <c r="X3" t="s">
        <v>252</v>
      </c>
      <c r="Z3" t="s">
        <v>285</v>
      </c>
      <c r="AB3" t="s">
        <v>215</v>
      </c>
      <c r="AD3" t="s">
        <v>318</v>
      </c>
      <c r="AF3" t="s">
        <v>340</v>
      </c>
      <c r="AH3" t="s">
        <v>364</v>
      </c>
      <c r="AJ3" t="s">
        <v>394</v>
      </c>
      <c r="AL3" t="s">
        <v>68</v>
      </c>
      <c r="AN3" t="s">
        <v>408</v>
      </c>
      <c r="AP3" t="s">
        <v>460</v>
      </c>
      <c r="AR3" t="s">
        <v>495</v>
      </c>
      <c r="AT3" t="s">
        <v>511</v>
      </c>
      <c r="AV3" t="s">
        <v>522</v>
      </c>
      <c r="AX3" t="s">
        <v>530</v>
      </c>
      <c r="AZ3" t="s">
        <v>542</v>
      </c>
      <c r="BB3" t="s">
        <v>572</v>
      </c>
      <c r="BD3" t="s">
        <v>575</v>
      </c>
      <c r="BF3" t="s">
        <v>597</v>
      </c>
      <c r="BH3" t="s">
        <v>630</v>
      </c>
      <c r="BJ3" t="s">
        <v>634</v>
      </c>
      <c r="BL3" t="s">
        <v>667</v>
      </c>
      <c r="BN3" t="s">
        <v>698</v>
      </c>
      <c r="BP3" t="s">
        <v>706</v>
      </c>
      <c r="BR3" t="s">
        <v>778</v>
      </c>
      <c r="BT3" t="s">
        <v>791</v>
      </c>
    </row>
    <row r="4" spans="2:72" x14ac:dyDescent="0.3">
      <c r="B4" t="s">
        <v>98</v>
      </c>
      <c r="D4" t="s">
        <v>101</v>
      </c>
      <c r="F4" t="s">
        <v>114</v>
      </c>
      <c r="H4" t="s">
        <v>139</v>
      </c>
      <c r="J4" t="s">
        <v>172</v>
      </c>
      <c r="N4" t="s">
        <v>210</v>
      </c>
      <c r="R4" t="s">
        <v>238</v>
      </c>
      <c r="T4" t="s">
        <v>240</v>
      </c>
      <c r="V4" t="s">
        <v>251</v>
      </c>
      <c r="X4" t="s">
        <v>253</v>
      </c>
      <c r="Z4" t="s">
        <v>286</v>
      </c>
      <c r="AB4" t="s">
        <v>307</v>
      </c>
      <c r="AD4" t="s">
        <v>319</v>
      </c>
      <c r="AF4" t="s">
        <v>341</v>
      </c>
      <c r="AH4" t="s">
        <v>365</v>
      </c>
      <c r="AJ4" t="s">
        <v>395</v>
      </c>
      <c r="AN4" t="s">
        <v>409</v>
      </c>
      <c r="AP4" t="s">
        <v>461</v>
      </c>
      <c r="AR4" t="s">
        <v>496</v>
      </c>
      <c r="AT4" t="s">
        <v>512</v>
      </c>
      <c r="AV4" t="s">
        <v>523</v>
      </c>
      <c r="AX4" t="s">
        <v>531</v>
      </c>
      <c r="AZ4" t="s">
        <v>543</v>
      </c>
      <c r="BB4" t="s">
        <v>573</v>
      </c>
      <c r="BD4" t="s">
        <v>576</v>
      </c>
      <c r="BF4" t="s">
        <v>598</v>
      </c>
      <c r="BH4" t="s">
        <v>631</v>
      </c>
      <c r="BJ4" t="s">
        <v>635</v>
      </c>
      <c r="BL4" t="s">
        <v>668</v>
      </c>
      <c r="BN4" t="s">
        <v>699</v>
      </c>
      <c r="BP4" t="s">
        <v>707</v>
      </c>
      <c r="BR4" t="s">
        <v>779</v>
      </c>
      <c r="BT4" t="s">
        <v>792</v>
      </c>
    </row>
    <row r="5" spans="2:72" x14ac:dyDescent="0.3">
      <c r="B5" t="s">
        <v>99</v>
      </c>
      <c r="D5" t="s">
        <v>102</v>
      </c>
      <c r="F5" t="s">
        <v>115</v>
      </c>
      <c r="H5" t="s">
        <v>140</v>
      </c>
      <c r="J5" t="s">
        <v>173</v>
      </c>
      <c r="N5" t="s">
        <v>211</v>
      </c>
      <c r="T5" t="s">
        <v>241</v>
      </c>
      <c r="X5" t="s">
        <v>254</v>
      </c>
      <c r="Z5" t="s">
        <v>287</v>
      </c>
      <c r="AB5" t="s">
        <v>308</v>
      </c>
      <c r="AD5" t="s">
        <v>320</v>
      </c>
      <c r="AF5" t="s">
        <v>342</v>
      </c>
      <c r="AH5" t="s">
        <v>366</v>
      </c>
      <c r="AJ5" t="s">
        <v>396</v>
      </c>
      <c r="AN5" t="s">
        <v>410</v>
      </c>
      <c r="AP5" t="s">
        <v>462</v>
      </c>
      <c r="AR5" t="s">
        <v>497</v>
      </c>
      <c r="AT5" t="s">
        <v>513</v>
      </c>
      <c r="AV5" t="s">
        <v>524</v>
      </c>
      <c r="AX5" t="s">
        <v>532</v>
      </c>
      <c r="AZ5" t="s">
        <v>544</v>
      </c>
      <c r="BB5" t="s">
        <v>74</v>
      </c>
      <c r="BD5" t="s">
        <v>577</v>
      </c>
      <c r="BF5" t="s">
        <v>599</v>
      </c>
      <c r="BH5" t="s">
        <v>632</v>
      </c>
      <c r="BJ5" t="s">
        <v>636</v>
      </c>
      <c r="BL5" t="s">
        <v>669</v>
      </c>
      <c r="BN5" t="s">
        <v>700</v>
      </c>
      <c r="BP5" t="s">
        <v>708</v>
      </c>
      <c r="BR5" t="s">
        <v>780</v>
      </c>
      <c r="BT5" t="s">
        <v>793</v>
      </c>
    </row>
    <row r="6" spans="2:72" x14ac:dyDescent="0.3">
      <c r="D6" t="s">
        <v>103</v>
      </c>
      <c r="F6" t="s">
        <v>116</v>
      </c>
      <c r="H6" t="s">
        <v>141</v>
      </c>
      <c r="J6" t="s">
        <v>174</v>
      </c>
      <c r="N6" t="s">
        <v>212</v>
      </c>
      <c r="T6" t="s">
        <v>242</v>
      </c>
      <c r="X6" t="s">
        <v>255</v>
      </c>
      <c r="Z6" t="s">
        <v>288</v>
      </c>
      <c r="AB6" t="s">
        <v>309</v>
      </c>
      <c r="AD6" t="s">
        <v>321</v>
      </c>
      <c r="AF6" t="s">
        <v>343</v>
      </c>
      <c r="AH6" t="s">
        <v>367</v>
      </c>
      <c r="AJ6" t="s">
        <v>397</v>
      </c>
      <c r="AN6" t="s">
        <v>411</v>
      </c>
      <c r="AP6" t="s">
        <v>173</v>
      </c>
      <c r="AR6" t="s">
        <v>498</v>
      </c>
      <c r="AT6" t="s">
        <v>514</v>
      </c>
      <c r="AV6" t="s">
        <v>525</v>
      </c>
      <c r="AX6" t="s">
        <v>533</v>
      </c>
      <c r="AZ6" t="s">
        <v>545</v>
      </c>
      <c r="BB6" t="s">
        <v>574</v>
      </c>
      <c r="BD6" t="s">
        <v>578</v>
      </c>
      <c r="BF6" t="s">
        <v>600</v>
      </c>
      <c r="BH6" t="s">
        <v>633</v>
      </c>
      <c r="BJ6" t="s">
        <v>637</v>
      </c>
      <c r="BL6" t="s">
        <v>670</v>
      </c>
      <c r="BN6" t="s">
        <v>701</v>
      </c>
      <c r="BP6" t="s">
        <v>709</v>
      </c>
      <c r="BR6" t="s">
        <v>781</v>
      </c>
      <c r="BT6" t="s">
        <v>794</v>
      </c>
    </row>
    <row r="7" spans="2:72" x14ac:dyDescent="0.3">
      <c r="D7" t="s">
        <v>104</v>
      </c>
      <c r="F7" t="s">
        <v>117</v>
      </c>
      <c r="H7" t="s">
        <v>142</v>
      </c>
      <c r="J7" t="s">
        <v>175</v>
      </c>
      <c r="N7" t="s">
        <v>213</v>
      </c>
      <c r="T7" t="s">
        <v>243</v>
      </c>
      <c r="X7" t="s">
        <v>256</v>
      </c>
      <c r="Z7" t="s">
        <v>289</v>
      </c>
      <c r="AB7" t="s">
        <v>310</v>
      </c>
      <c r="AD7" t="s">
        <v>322</v>
      </c>
      <c r="AF7" t="s">
        <v>344</v>
      </c>
      <c r="AH7" t="s">
        <v>368</v>
      </c>
      <c r="AJ7" t="s">
        <v>398</v>
      </c>
      <c r="AN7" t="s">
        <v>412</v>
      </c>
      <c r="AP7" t="s">
        <v>463</v>
      </c>
      <c r="AR7" t="s">
        <v>499</v>
      </c>
      <c r="AT7" t="s">
        <v>515</v>
      </c>
      <c r="AV7" t="s">
        <v>526</v>
      </c>
      <c r="AX7" t="s">
        <v>534</v>
      </c>
      <c r="AZ7" t="s">
        <v>546</v>
      </c>
      <c r="BD7" t="s">
        <v>579</v>
      </c>
      <c r="BF7" t="s">
        <v>601</v>
      </c>
      <c r="BJ7" t="s">
        <v>638</v>
      </c>
      <c r="BL7" t="s">
        <v>671</v>
      </c>
      <c r="BN7" t="s">
        <v>702</v>
      </c>
      <c r="BP7" t="s">
        <v>710</v>
      </c>
      <c r="BR7" t="s">
        <v>782</v>
      </c>
      <c r="BT7" t="s">
        <v>795</v>
      </c>
    </row>
    <row r="8" spans="2:72" x14ac:dyDescent="0.3">
      <c r="D8" t="s">
        <v>105</v>
      </c>
      <c r="F8" t="s">
        <v>118</v>
      </c>
      <c r="H8" t="s">
        <v>143</v>
      </c>
      <c r="J8" t="s">
        <v>176</v>
      </c>
      <c r="N8" t="s">
        <v>214</v>
      </c>
      <c r="T8" t="s">
        <v>244</v>
      </c>
      <c r="X8" t="s">
        <v>257</v>
      </c>
      <c r="Z8" t="s">
        <v>290</v>
      </c>
      <c r="AB8" t="s">
        <v>311</v>
      </c>
      <c r="AD8" t="s">
        <v>323</v>
      </c>
      <c r="AF8" t="s">
        <v>345</v>
      </c>
      <c r="AH8" t="s">
        <v>369</v>
      </c>
      <c r="AJ8" t="s">
        <v>399</v>
      </c>
      <c r="AN8" t="s">
        <v>413</v>
      </c>
      <c r="AP8" t="s">
        <v>464</v>
      </c>
      <c r="AR8" t="s">
        <v>500</v>
      </c>
      <c r="AT8" t="s">
        <v>516</v>
      </c>
      <c r="AV8" t="s">
        <v>527</v>
      </c>
      <c r="AX8" t="s">
        <v>535</v>
      </c>
      <c r="AZ8" t="s">
        <v>547</v>
      </c>
      <c r="BD8" t="s">
        <v>580</v>
      </c>
      <c r="BF8" t="s">
        <v>602</v>
      </c>
      <c r="BJ8" t="s">
        <v>639</v>
      </c>
      <c r="BL8" t="s">
        <v>672</v>
      </c>
      <c r="BN8" t="s">
        <v>703</v>
      </c>
      <c r="BP8" t="s">
        <v>711</v>
      </c>
      <c r="BR8" t="s">
        <v>783</v>
      </c>
      <c r="BT8" t="s">
        <v>796</v>
      </c>
    </row>
    <row r="9" spans="2:72" x14ac:dyDescent="0.3">
      <c r="D9" t="s">
        <v>106</v>
      </c>
      <c r="F9" t="s">
        <v>119</v>
      </c>
      <c r="H9" t="s">
        <v>144</v>
      </c>
      <c r="J9" t="s">
        <v>177</v>
      </c>
      <c r="N9" t="s">
        <v>215</v>
      </c>
      <c r="T9" t="s">
        <v>245</v>
      </c>
      <c r="X9" t="s">
        <v>258</v>
      </c>
      <c r="Z9" t="s">
        <v>291</v>
      </c>
      <c r="AB9" t="s">
        <v>312</v>
      </c>
      <c r="AD9" t="s">
        <v>324</v>
      </c>
      <c r="AF9" t="s">
        <v>346</v>
      </c>
      <c r="AH9" t="s">
        <v>370</v>
      </c>
      <c r="AJ9" t="s">
        <v>400</v>
      </c>
      <c r="AN9" t="s">
        <v>414</v>
      </c>
      <c r="AP9" t="s">
        <v>465</v>
      </c>
      <c r="AR9" t="s">
        <v>501</v>
      </c>
      <c r="AT9" t="s">
        <v>517</v>
      </c>
      <c r="AV9" t="s">
        <v>528</v>
      </c>
      <c r="AX9" t="s">
        <v>536</v>
      </c>
      <c r="AZ9" t="s">
        <v>548</v>
      </c>
      <c r="BD9" t="s">
        <v>581</v>
      </c>
      <c r="BF9" t="s">
        <v>603</v>
      </c>
      <c r="BJ9" t="s">
        <v>640</v>
      </c>
      <c r="BL9" t="s">
        <v>673</v>
      </c>
      <c r="BN9" t="s">
        <v>704</v>
      </c>
      <c r="BP9" t="s">
        <v>712</v>
      </c>
      <c r="BR9" t="s">
        <v>784</v>
      </c>
      <c r="BT9" t="s">
        <v>797</v>
      </c>
    </row>
    <row r="10" spans="2:72" x14ac:dyDescent="0.3">
      <c r="D10" t="s">
        <v>107</v>
      </c>
      <c r="F10" t="s">
        <v>120</v>
      </c>
      <c r="H10" t="s">
        <v>145</v>
      </c>
      <c r="J10" t="s">
        <v>178</v>
      </c>
      <c r="N10" t="s">
        <v>216</v>
      </c>
      <c r="T10" t="s">
        <v>246</v>
      </c>
      <c r="X10" t="s">
        <v>259</v>
      </c>
      <c r="Z10" t="s">
        <v>292</v>
      </c>
      <c r="AB10" t="s">
        <v>313</v>
      </c>
      <c r="AD10" t="s">
        <v>325</v>
      </c>
      <c r="AF10" t="s">
        <v>347</v>
      </c>
      <c r="AH10" t="s">
        <v>371</v>
      </c>
      <c r="AJ10" t="s">
        <v>401</v>
      </c>
      <c r="AN10" t="s">
        <v>415</v>
      </c>
      <c r="AP10" t="s">
        <v>466</v>
      </c>
      <c r="AR10" t="s">
        <v>502</v>
      </c>
      <c r="AT10" t="s">
        <v>518</v>
      </c>
      <c r="AV10" t="s">
        <v>529</v>
      </c>
      <c r="AX10" t="s">
        <v>537</v>
      </c>
      <c r="AZ10" t="s">
        <v>549</v>
      </c>
      <c r="BD10" t="s">
        <v>582</v>
      </c>
      <c r="BF10" t="s">
        <v>604</v>
      </c>
      <c r="BJ10" t="s">
        <v>641</v>
      </c>
      <c r="BL10" t="s">
        <v>674</v>
      </c>
      <c r="BN10" t="s">
        <v>705</v>
      </c>
      <c r="BP10" t="s">
        <v>713</v>
      </c>
      <c r="BR10" t="s">
        <v>785</v>
      </c>
      <c r="BT10" t="s">
        <v>798</v>
      </c>
    </row>
    <row r="11" spans="2:72" x14ac:dyDescent="0.3">
      <c r="D11" t="s">
        <v>108</v>
      </c>
      <c r="F11" t="s">
        <v>121</v>
      </c>
      <c r="H11" t="s">
        <v>146</v>
      </c>
      <c r="J11" t="s">
        <v>179</v>
      </c>
      <c r="N11" t="s">
        <v>217</v>
      </c>
      <c r="T11" t="s">
        <v>247</v>
      </c>
      <c r="X11" t="s">
        <v>260</v>
      </c>
      <c r="Z11" t="s">
        <v>293</v>
      </c>
      <c r="AB11" t="s">
        <v>314</v>
      </c>
      <c r="AD11" t="s">
        <v>326</v>
      </c>
      <c r="AF11" t="s">
        <v>348</v>
      </c>
      <c r="AH11" t="s">
        <v>372</v>
      </c>
      <c r="AJ11" t="s">
        <v>402</v>
      </c>
      <c r="AN11" t="s">
        <v>416</v>
      </c>
      <c r="AP11" t="s">
        <v>467</v>
      </c>
      <c r="AR11" t="s">
        <v>503</v>
      </c>
      <c r="AT11" t="s">
        <v>519</v>
      </c>
      <c r="AX11" t="s">
        <v>538</v>
      </c>
      <c r="AZ11" t="s">
        <v>550</v>
      </c>
      <c r="BD11" t="s">
        <v>583</v>
      </c>
      <c r="BF11" t="s">
        <v>605</v>
      </c>
      <c r="BJ11" t="s">
        <v>642</v>
      </c>
      <c r="BL11" t="s">
        <v>675</v>
      </c>
      <c r="BP11" t="s">
        <v>714</v>
      </c>
      <c r="BR11" t="s">
        <v>786</v>
      </c>
      <c r="BT11" t="s">
        <v>799</v>
      </c>
    </row>
    <row r="12" spans="2:72" x14ac:dyDescent="0.3">
      <c r="D12" t="s">
        <v>109</v>
      </c>
      <c r="F12" t="s">
        <v>122</v>
      </c>
      <c r="H12" t="s">
        <v>147</v>
      </c>
      <c r="J12" t="s">
        <v>180</v>
      </c>
      <c r="N12" t="s">
        <v>218</v>
      </c>
      <c r="T12" t="s">
        <v>248</v>
      </c>
      <c r="X12" t="s">
        <v>261</v>
      </c>
      <c r="Z12" t="s">
        <v>294</v>
      </c>
      <c r="AB12" t="s">
        <v>315</v>
      </c>
      <c r="AD12" t="s">
        <v>327</v>
      </c>
      <c r="AF12" t="s">
        <v>349</v>
      </c>
      <c r="AH12" t="s">
        <v>373</v>
      </c>
      <c r="AJ12" t="s">
        <v>403</v>
      </c>
      <c r="AN12" t="s">
        <v>417</v>
      </c>
      <c r="AP12" t="s">
        <v>468</v>
      </c>
      <c r="AR12" t="s">
        <v>504</v>
      </c>
      <c r="AT12" t="s">
        <v>520</v>
      </c>
      <c r="AX12" t="s">
        <v>539</v>
      </c>
      <c r="AZ12" t="s">
        <v>551</v>
      </c>
      <c r="BD12" t="s">
        <v>584</v>
      </c>
      <c r="BF12" t="s">
        <v>606</v>
      </c>
      <c r="BJ12" t="s">
        <v>643</v>
      </c>
      <c r="BL12" t="s">
        <v>676</v>
      </c>
      <c r="BP12" t="s">
        <v>715</v>
      </c>
      <c r="BR12" t="s">
        <v>787</v>
      </c>
      <c r="BT12" t="s">
        <v>800</v>
      </c>
    </row>
    <row r="13" spans="2:72" x14ac:dyDescent="0.3">
      <c r="D13" t="s">
        <v>110</v>
      </c>
      <c r="F13" t="s">
        <v>123</v>
      </c>
      <c r="H13" t="s">
        <v>148</v>
      </c>
      <c r="J13" t="s">
        <v>181</v>
      </c>
      <c r="N13" t="s">
        <v>219</v>
      </c>
      <c r="T13" t="s">
        <v>249</v>
      </c>
      <c r="X13" t="s">
        <v>262</v>
      </c>
      <c r="Z13" t="s">
        <v>295</v>
      </c>
      <c r="AB13" t="s">
        <v>316</v>
      </c>
      <c r="AD13" t="s">
        <v>328</v>
      </c>
      <c r="AF13" t="s">
        <v>350</v>
      </c>
      <c r="AH13" t="s">
        <v>374</v>
      </c>
      <c r="AJ13" t="s">
        <v>404</v>
      </c>
      <c r="AN13" t="s">
        <v>418</v>
      </c>
      <c r="AP13" t="s">
        <v>469</v>
      </c>
      <c r="AR13" t="s">
        <v>505</v>
      </c>
      <c r="AT13" t="s">
        <v>521</v>
      </c>
      <c r="AX13" t="s">
        <v>540</v>
      </c>
      <c r="AZ13" t="s">
        <v>552</v>
      </c>
      <c r="BD13" t="s">
        <v>585</v>
      </c>
      <c r="BF13" t="s">
        <v>607</v>
      </c>
      <c r="BJ13" t="s">
        <v>644</v>
      </c>
      <c r="BL13" t="s">
        <v>677</v>
      </c>
      <c r="BP13" t="s">
        <v>716</v>
      </c>
      <c r="BR13" t="s">
        <v>788</v>
      </c>
      <c r="BT13" t="s">
        <v>801</v>
      </c>
    </row>
    <row r="14" spans="2:72" x14ac:dyDescent="0.3">
      <c r="D14" t="s">
        <v>111</v>
      </c>
      <c r="F14" t="s">
        <v>124</v>
      </c>
      <c r="H14" t="s">
        <v>149</v>
      </c>
      <c r="J14" t="s">
        <v>182</v>
      </c>
      <c r="N14" t="s">
        <v>220</v>
      </c>
      <c r="X14" t="s">
        <v>263</v>
      </c>
      <c r="Z14" t="s">
        <v>296</v>
      </c>
      <c r="AB14" t="s">
        <v>317</v>
      </c>
      <c r="AD14" t="s">
        <v>329</v>
      </c>
      <c r="AF14" t="s">
        <v>351</v>
      </c>
      <c r="AH14" t="s">
        <v>375</v>
      </c>
      <c r="AJ14" t="s">
        <v>405</v>
      </c>
      <c r="AN14" t="s">
        <v>419</v>
      </c>
      <c r="AP14" t="s">
        <v>470</v>
      </c>
      <c r="AR14" t="s">
        <v>506</v>
      </c>
      <c r="AX14" t="s">
        <v>541</v>
      </c>
      <c r="AZ14" t="s">
        <v>553</v>
      </c>
      <c r="BD14" t="s">
        <v>586</v>
      </c>
      <c r="BF14" t="s">
        <v>608</v>
      </c>
      <c r="BJ14" t="s">
        <v>645</v>
      </c>
      <c r="BL14" t="s">
        <v>678</v>
      </c>
      <c r="BP14" t="s">
        <v>211</v>
      </c>
      <c r="BR14" t="s">
        <v>789</v>
      </c>
      <c r="BT14" t="s">
        <v>802</v>
      </c>
    </row>
    <row r="15" spans="2:72" x14ac:dyDescent="0.3">
      <c r="D15" t="s">
        <v>112</v>
      </c>
      <c r="F15" t="s">
        <v>125</v>
      </c>
      <c r="H15" t="s">
        <v>150</v>
      </c>
      <c r="J15" t="s">
        <v>183</v>
      </c>
      <c r="N15" t="s">
        <v>221</v>
      </c>
      <c r="X15" t="s">
        <v>264</v>
      </c>
      <c r="Z15" t="s">
        <v>297</v>
      </c>
      <c r="AD15" t="s">
        <v>330</v>
      </c>
      <c r="AF15" t="s">
        <v>352</v>
      </c>
      <c r="AH15" t="s">
        <v>376</v>
      </c>
      <c r="AJ15" t="s">
        <v>406</v>
      </c>
      <c r="AN15" t="s">
        <v>420</v>
      </c>
      <c r="AP15" t="s">
        <v>471</v>
      </c>
      <c r="AR15" t="s">
        <v>507</v>
      </c>
      <c r="AZ15" t="s">
        <v>554</v>
      </c>
      <c r="BD15" t="s">
        <v>587</v>
      </c>
      <c r="BF15" t="s">
        <v>609</v>
      </c>
      <c r="BJ15" t="s">
        <v>646</v>
      </c>
      <c r="BL15" t="s">
        <v>679</v>
      </c>
      <c r="BP15" t="s">
        <v>717</v>
      </c>
      <c r="BR15" t="s">
        <v>790</v>
      </c>
      <c r="BT15" t="s">
        <v>803</v>
      </c>
    </row>
    <row r="16" spans="2:72" x14ac:dyDescent="0.3">
      <c r="F16" t="s">
        <v>126</v>
      </c>
      <c r="H16" t="s">
        <v>151</v>
      </c>
      <c r="J16" t="s">
        <v>184</v>
      </c>
      <c r="N16" t="s">
        <v>222</v>
      </c>
      <c r="X16" t="s">
        <v>265</v>
      </c>
      <c r="Z16" t="s">
        <v>298</v>
      </c>
      <c r="AD16" t="s">
        <v>331</v>
      </c>
      <c r="AF16" t="s">
        <v>353</v>
      </c>
      <c r="AH16" t="s">
        <v>377</v>
      </c>
      <c r="AJ16" t="s">
        <v>407</v>
      </c>
      <c r="AN16" t="s">
        <v>421</v>
      </c>
      <c r="AP16" t="s">
        <v>472</v>
      </c>
      <c r="AR16" t="s">
        <v>508</v>
      </c>
      <c r="AZ16" t="s">
        <v>555</v>
      </c>
      <c r="BD16" t="s">
        <v>588</v>
      </c>
      <c r="BF16" t="s">
        <v>610</v>
      </c>
      <c r="BJ16" t="s">
        <v>647</v>
      </c>
      <c r="BL16" t="s">
        <v>680</v>
      </c>
      <c r="BP16" t="s">
        <v>718</v>
      </c>
      <c r="BT16" t="s">
        <v>804</v>
      </c>
    </row>
    <row r="17" spans="6:72" x14ac:dyDescent="0.3">
      <c r="F17" t="s">
        <v>127</v>
      </c>
      <c r="H17" t="s">
        <v>152</v>
      </c>
      <c r="J17" t="s">
        <v>185</v>
      </c>
      <c r="N17" t="s">
        <v>223</v>
      </c>
      <c r="X17" t="s">
        <v>266</v>
      </c>
      <c r="Z17" t="s">
        <v>299</v>
      </c>
      <c r="AD17" t="s">
        <v>332</v>
      </c>
      <c r="AF17" t="s">
        <v>354</v>
      </c>
      <c r="AH17" t="s">
        <v>378</v>
      </c>
      <c r="AN17" t="s">
        <v>422</v>
      </c>
      <c r="AP17" t="s">
        <v>473</v>
      </c>
      <c r="AR17" t="s">
        <v>509</v>
      </c>
      <c r="AZ17" t="s">
        <v>556</v>
      </c>
      <c r="BD17" t="s">
        <v>589</v>
      </c>
      <c r="BF17" t="s">
        <v>611</v>
      </c>
      <c r="BJ17" t="s">
        <v>648</v>
      </c>
      <c r="BL17" t="s">
        <v>681</v>
      </c>
      <c r="BP17" t="s">
        <v>719</v>
      </c>
      <c r="BT17" t="s">
        <v>805</v>
      </c>
    </row>
    <row r="18" spans="6:72" x14ac:dyDescent="0.3">
      <c r="F18" t="s">
        <v>128</v>
      </c>
      <c r="H18" t="s">
        <v>153</v>
      </c>
      <c r="J18" t="s">
        <v>186</v>
      </c>
      <c r="N18" t="s">
        <v>224</v>
      </c>
      <c r="X18" t="s">
        <v>267</v>
      </c>
      <c r="Z18" t="s">
        <v>300</v>
      </c>
      <c r="AD18" t="s">
        <v>333</v>
      </c>
      <c r="AF18" t="s">
        <v>355</v>
      </c>
      <c r="AH18" t="s">
        <v>379</v>
      </c>
      <c r="AN18" t="s">
        <v>423</v>
      </c>
      <c r="AP18" t="s">
        <v>474</v>
      </c>
      <c r="AR18" t="s">
        <v>510</v>
      </c>
      <c r="AZ18" t="s">
        <v>557</v>
      </c>
      <c r="BD18" t="s">
        <v>590</v>
      </c>
      <c r="BF18" t="s">
        <v>612</v>
      </c>
      <c r="BJ18" t="s">
        <v>649</v>
      </c>
      <c r="BL18" t="s">
        <v>682</v>
      </c>
      <c r="BP18" t="s">
        <v>720</v>
      </c>
      <c r="BT18" t="s">
        <v>806</v>
      </c>
    </row>
    <row r="19" spans="6:72" x14ac:dyDescent="0.3">
      <c r="F19" t="s">
        <v>129</v>
      </c>
      <c r="H19" t="s">
        <v>154</v>
      </c>
      <c r="J19" t="s">
        <v>187</v>
      </c>
      <c r="N19" t="s">
        <v>225</v>
      </c>
      <c r="X19" t="s">
        <v>268</v>
      </c>
      <c r="Z19" t="s">
        <v>301</v>
      </c>
      <c r="AD19" t="s">
        <v>334</v>
      </c>
      <c r="AF19" t="s">
        <v>356</v>
      </c>
      <c r="AH19" t="s">
        <v>380</v>
      </c>
      <c r="AN19" t="s">
        <v>424</v>
      </c>
      <c r="AP19" t="s">
        <v>475</v>
      </c>
      <c r="AZ19" t="s">
        <v>558</v>
      </c>
      <c r="BD19" t="s">
        <v>591</v>
      </c>
      <c r="BF19" t="s">
        <v>613</v>
      </c>
      <c r="BJ19" t="s">
        <v>650</v>
      </c>
      <c r="BL19" t="s">
        <v>683</v>
      </c>
      <c r="BP19" t="s">
        <v>721</v>
      </c>
      <c r="BT19" t="s">
        <v>807</v>
      </c>
    </row>
    <row r="20" spans="6:72" x14ac:dyDescent="0.3">
      <c r="F20" t="s">
        <v>130</v>
      </c>
      <c r="H20" t="s">
        <v>155</v>
      </c>
      <c r="J20" t="s">
        <v>188</v>
      </c>
      <c r="N20" t="s">
        <v>226</v>
      </c>
      <c r="X20" t="s">
        <v>269</v>
      </c>
      <c r="Z20" t="s">
        <v>302</v>
      </c>
      <c r="AD20" t="s">
        <v>335</v>
      </c>
      <c r="AF20" t="s">
        <v>357</v>
      </c>
      <c r="AH20" t="s">
        <v>381</v>
      </c>
      <c r="AN20" t="s">
        <v>425</v>
      </c>
      <c r="AP20" t="s">
        <v>476</v>
      </c>
      <c r="AZ20" t="s">
        <v>559</v>
      </c>
      <c r="BD20" t="s">
        <v>592</v>
      </c>
      <c r="BF20" t="s">
        <v>614</v>
      </c>
      <c r="BJ20" t="s">
        <v>651</v>
      </c>
      <c r="BL20" t="s">
        <v>684</v>
      </c>
      <c r="BP20" t="s">
        <v>722</v>
      </c>
      <c r="BT20" t="s">
        <v>808</v>
      </c>
    </row>
    <row r="21" spans="6:72" x14ac:dyDescent="0.3">
      <c r="F21" t="s">
        <v>131</v>
      </c>
      <c r="H21" t="s">
        <v>156</v>
      </c>
      <c r="J21" t="s">
        <v>189</v>
      </c>
      <c r="N21" t="s">
        <v>227</v>
      </c>
      <c r="X21" t="s">
        <v>270</v>
      </c>
      <c r="Z21" t="s">
        <v>303</v>
      </c>
      <c r="AD21" t="s">
        <v>336</v>
      </c>
      <c r="AF21" t="s">
        <v>358</v>
      </c>
      <c r="AH21" t="s">
        <v>382</v>
      </c>
      <c r="AN21" t="s">
        <v>426</v>
      </c>
      <c r="AP21" t="s">
        <v>477</v>
      </c>
      <c r="AZ21" t="s">
        <v>560</v>
      </c>
      <c r="BD21" t="s">
        <v>593</v>
      </c>
      <c r="BF21" t="s">
        <v>615</v>
      </c>
      <c r="BJ21" t="s">
        <v>652</v>
      </c>
      <c r="BL21" t="s">
        <v>685</v>
      </c>
      <c r="BP21" t="s">
        <v>723</v>
      </c>
      <c r="BT21" t="s">
        <v>809</v>
      </c>
    </row>
    <row r="22" spans="6:72" x14ac:dyDescent="0.3">
      <c r="F22" t="s">
        <v>132</v>
      </c>
      <c r="H22" t="s">
        <v>157</v>
      </c>
      <c r="J22" t="s">
        <v>190</v>
      </c>
      <c r="N22" t="s">
        <v>228</v>
      </c>
      <c r="X22" t="s">
        <v>271</v>
      </c>
      <c r="Z22" t="s">
        <v>304</v>
      </c>
      <c r="AD22" t="s">
        <v>337</v>
      </c>
      <c r="AF22" t="s">
        <v>359</v>
      </c>
      <c r="AH22" t="s">
        <v>383</v>
      </c>
      <c r="AN22" t="s">
        <v>427</v>
      </c>
      <c r="AP22" t="s">
        <v>478</v>
      </c>
      <c r="AZ22" t="s">
        <v>561</v>
      </c>
      <c r="BD22" t="s">
        <v>594</v>
      </c>
      <c r="BF22" t="s">
        <v>616</v>
      </c>
      <c r="BJ22" t="s">
        <v>653</v>
      </c>
      <c r="BL22" t="s">
        <v>686</v>
      </c>
      <c r="BP22" t="s">
        <v>724</v>
      </c>
      <c r="BT22" t="s">
        <v>810</v>
      </c>
    </row>
    <row r="23" spans="6:72" x14ac:dyDescent="0.3">
      <c r="F23" t="s">
        <v>133</v>
      </c>
      <c r="H23" t="s">
        <v>158</v>
      </c>
      <c r="J23" t="s">
        <v>191</v>
      </c>
      <c r="N23" t="s">
        <v>229</v>
      </c>
      <c r="X23" t="s">
        <v>272</v>
      </c>
      <c r="Z23" t="s">
        <v>305</v>
      </c>
      <c r="AD23" t="s">
        <v>338</v>
      </c>
      <c r="AF23" t="s">
        <v>360</v>
      </c>
      <c r="AH23" t="s">
        <v>384</v>
      </c>
      <c r="AN23" t="s">
        <v>428</v>
      </c>
      <c r="AP23" t="s">
        <v>479</v>
      </c>
      <c r="AZ23" t="s">
        <v>562</v>
      </c>
      <c r="BD23" t="s">
        <v>595</v>
      </c>
      <c r="BF23" t="s">
        <v>617</v>
      </c>
      <c r="BJ23" t="s">
        <v>654</v>
      </c>
      <c r="BL23" t="s">
        <v>687</v>
      </c>
      <c r="BP23" t="s">
        <v>725</v>
      </c>
      <c r="BT23" t="s">
        <v>811</v>
      </c>
    </row>
    <row r="24" spans="6:72" x14ac:dyDescent="0.3">
      <c r="F24" t="s">
        <v>134</v>
      </c>
      <c r="H24" t="s">
        <v>159</v>
      </c>
      <c r="J24" t="s">
        <v>192</v>
      </c>
      <c r="N24" t="s">
        <v>230</v>
      </c>
      <c r="X24" t="s">
        <v>273</v>
      </c>
      <c r="Z24" t="s">
        <v>306</v>
      </c>
      <c r="AD24" t="s">
        <v>339</v>
      </c>
      <c r="AF24" t="s">
        <v>361</v>
      </c>
      <c r="AH24" t="s">
        <v>385</v>
      </c>
      <c r="AN24" t="s">
        <v>429</v>
      </c>
      <c r="AP24" t="s">
        <v>480</v>
      </c>
      <c r="AZ24" t="s">
        <v>563</v>
      </c>
      <c r="BD24" t="s">
        <v>596</v>
      </c>
      <c r="BF24" t="s">
        <v>618</v>
      </c>
      <c r="BJ24" t="s">
        <v>655</v>
      </c>
      <c r="BL24" t="s">
        <v>688</v>
      </c>
      <c r="BP24" t="s">
        <v>726</v>
      </c>
      <c r="BT24" t="s">
        <v>812</v>
      </c>
    </row>
    <row r="25" spans="6:72" x14ac:dyDescent="0.3">
      <c r="F25" t="s">
        <v>135</v>
      </c>
      <c r="H25" t="s">
        <v>160</v>
      </c>
      <c r="J25" t="s">
        <v>193</v>
      </c>
      <c r="N25" t="s">
        <v>231</v>
      </c>
      <c r="X25" t="s">
        <v>274</v>
      </c>
      <c r="AF25" t="s">
        <v>362</v>
      </c>
      <c r="AH25" t="s">
        <v>386</v>
      </c>
      <c r="AN25" t="s">
        <v>430</v>
      </c>
      <c r="AP25" t="s">
        <v>481</v>
      </c>
      <c r="AZ25" t="s">
        <v>564</v>
      </c>
      <c r="BF25" t="s">
        <v>619</v>
      </c>
      <c r="BJ25" t="s">
        <v>656</v>
      </c>
      <c r="BL25" t="s">
        <v>689</v>
      </c>
      <c r="BP25" t="s">
        <v>727</v>
      </c>
      <c r="BT25" t="s">
        <v>813</v>
      </c>
    </row>
    <row r="26" spans="6:72" x14ac:dyDescent="0.3">
      <c r="F26" t="s">
        <v>136</v>
      </c>
      <c r="H26" t="s">
        <v>161</v>
      </c>
      <c r="J26" t="s">
        <v>194</v>
      </c>
      <c r="N26" t="s">
        <v>232</v>
      </c>
      <c r="X26" t="s">
        <v>275</v>
      </c>
      <c r="AF26" t="s">
        <v>363</v>
      </c>
      <c r="AH26" t="s">
        <v>387</v>
      </c>
      <c r="AN26" t="s">
        <v>431</v>
      </c>
      <c r="AP26" t="s">
        <v>482</v>
      </c>
      <c r="AZ26" t="s">
        <v>565</v>
      </c>
      <c r="BF26" t="s">
        <v>620</v>
      </c>
      <c r="BJ26" t="s">
        <v>657</v>
      </c>
      <c r="BL26" t="s">
        <v>690</v>
      </c>
      <c r="BP26" t="s">
        <v>728</v>
      </c>
    </row>
    <row r="27" spans="6:72" x14ac:dyDescent="0.3">
      <c r="F27" t="s">
        <v>137</v>
      </c>
      <c r="H27" t="s">
        <v>162</v>
      </c>
      <c r="J27" t="s">
        <v>195</v>
      </c>
      <c r="N27" t="s">
        <v>233</v>
      </c>
      <c r="X27" t="s">
        <v>276</v>
      </c>
      <c r="AH27" t="s">
        <v>388</v>
      </c>
      <c r="AN27" t="s">
        <v>432</v>
      </c>
      <c r="AP27" t="s">
        <v>483</v>
      </c>
      <c r="AZ27" t="s">
        <v>566</v>
      </c>
      <c r="BF27" t="s">
        <v>621</v>
      </c>
      <c r="BJ27" t="s">
        <v>658</v>
      </c>
      <c r="BL27" t="s">
        <v>691</v>
      </c>
      <c r="BP27" t="s">
        <v>729</v>
      </c>
    </row>
    <row r="28" spans="6:72" x14ac:dyDescent="0.3">
      <c r="H28" t="s">
        <v>163</v>
      </c>
      <c r="J28" t="s">
        <v>196</v>
      </c>
      <c r="N28" t="s">
        <v>234</v>
      </c>
      <c r="X28" t="s">
        <v>277</v>
      </c>
      <c r="AH28" t="s">
        <v>389</v>
      </c>
      <c r="AN28" t="s">
        <v>433</v>
      </c>
      <c r="AP28" t="s">
        <v>484</v>
      </c>
      <c r="AZ28" t="s">
        <v>567</v>
      </c>
      <c r="BF28" t="s">
        <v>622</v>
      </c>
      <c r="BJ28" t="s">
        <v>659</v>
      </c>
      <c r="BL28" t="s">
        <v>692</v>
      </c>
      <c r="BP28" t="s">
        <v>730</v>
      </c>
    </row>
    <row r="29" spans="6:72" x14ac:dyDescent="0.3">
      <c r="H29" t="s">
        <v>164</v>
      </c>
      <c r="J29" t="s">
        <v>197</v>
      </c>
      <c r="N29" t="s">
        <v>235</v>
      </c>
      <c r="X29" t="s">
        <v>278</v>
      </c>
      <c r="AH29" t="s">
        <v>390</v>
      </c>
      <c r="AN29" t="s">
        <v>434</v>
      </c>
      <c r="AP29" t="s">
        <v>485</v>
      </c>
      <c r="AZ29" t="s">
        <v>568</v>
      </c>
      <c r="BF29" t="s">
        <v>623</v>
      </c>
      <c r="BJ29" t="s">
        <v>660</v>
      </c>
      <c r="BL29" t="s">
        <v>693</v>
      </c>
      <c r="BP29" t="s">
        <v>731</v>
      </c>
    </row>
    <row r="30" spans="6:72" x14ac:dyDescent="0.3">
      <c r="H30" t="s">
        <v>165</v>
      </c>
      <c r="J30" t="s">
        <v>198</v>
      </c>
      <c r="X30" t="s">
        <v>279</v>
      </c>
      <c r="AH30" t="s">
        <v>391</v>
      </c>
      <c r="AN30" t="s">
        <v>435</v>
      </c>
      <c r="AP30" t="s">
        <v>486</v>
      </c>
      <c r="AZ30" t="s">
        <v>569</v>
      </c>
      <c r="BF30" t="s">
        <v>624</v>
      </c>
      <c r="BJ30" t="s">
        <v>661</v>
      </c>
      <c r="BL30" t="s">
        <v>694</v>
      </c>
      <c r="BP30" t="s">
        <v>732</v>
      </c>
    </row>
    <row r="31" spans="6:72" x14ac:dyDescent="0.3">
      <c r="H31" t="s">
        <v>166</v>
      </c>
      <c r="J31" t="s">
        <v>199</v>
      </c>
      <c r="X31" t="s">
        <v>280</v>
      </c>
      <c r="AH31" t="s">
        <v>392</v>
      </c>
      <c r="AN31" t="s">
        <v>436</v>
      </c>
      <c r="AP31" t="s">
        <v>487</v>
      </c>
      <c r="AZ31" t="s">
        <v>570</v>
      </c>
      <c r="BF31" t="s">
        <v>625</v>
      </c>
      <c r="BJ31" t="s">
        <v>662</v>
      </c>
      <c r="BL31" t="s">
        <v>695</v>
      </c>
      <c r="BP31" t="s">
        <v>733</v>
      </c>
    </row>
    <row r="32" spans="6:72" x14ac:dyDescent="0.3">
      <c r="H32" t="s">
        <v>167</v>
      </c>
      <c r="J32" t="s">
        <v>200</v>
      </c>
      <c r="X32" t="s">
        <v>281</v>
      </c>
      <c r="AH32" t="s">
        <v>393</v>
      </c>
      <c r="AN32" t="s">
        <v>437</v>
      </c>
      <c r="AP32" t="s">
        <v>488</v>
      </c>
      <c r="AZ32" t="s">
        <v>571</v>
      </c>
      <c r="BF32" t="s">
        <v>626</v>
      </c>
      <c r="BJ32" t="s">
        <v>663</v>
      </c>
      <c r="BL32" t="s">
        <v>696</v>
      </c>
      <c r="BP32" t="s">
        <v>734</v>
      </c>
    </row>
    <row r="33" spans="8:68" x14ac:dyDescent="0.3">
      <c r="H33" t="s">
        <v>168</v>
      </c>
      <c r="J33" t="s">
        <v>201</v>
      </c>
      <c r="X33" t="s">
        <v>282</v>
      </c>
      <c r="AN33" t="s">
        <v>438</v>
      </c>
      <c r="AP33" t="s">
        <v>489</v>
      </c>
      <c r="BF33" t="s">
        <v>627</v>
      </c>
      <c r="BJ33" t="s">
        <v>664</v>
      </c>
      <c r="BL33" t="s">
        <v>697</v>
      </c>
      <c r="BP33" t="s">
        <v>735</v>
      </c>
    </row>
    <row r="34" spans="8:68" x14ac:dyDescent="0.3">
      <c r="H34" t="s">
        <v>169</v>
      </c>
      <c r="J34" t="s">
        <v>202</v>
      </c>
      <c r="X34" t="s">
        <v>283</v>
      </c>
      <c r="AN34" t="s">
        <v>439</v>
      </c>
      <c r="AP34" t="s">
        <v>490</v>
      </c>
      <c r="BF34" t="s">
        <v>628</v>
      </c>
      <c r="BJ34" t="s">
        <v>665</v>
      </c>
      <c r="BP34" t="s">
        <v>736</v>
      </c>
    </row>
    <row r="35" spans="8:68" x14ac:dyDescent="0.3">
      <c r="H35" t="s">
        <v>170</v>
      </c>
      <c r="J35" t="s">
        <v>203</v>
      </c>
      <c r="X35" t="s">
        <v>284</v>
      </c>
      <c r="AN35" t="s">
        <v>440</v>
      </c>
      <c r="AP35" t="s">
        <v>491</v>
      </c>
      <c r="BF35" t="s">
        <v>629</v>
      </c>
      <c r="BJ35" t="s">
        <v>666</v>
      </c>
      <c r="BP35" t="s">
        <v>737</v>
      </c>
    </row>
    <row r="36" spans="8:68" x14ac:dyDescent="0.3">
      <c r="J36" t="s">
        <v>204</v>
      </c>
      <c r="AN36" t="s">
        <v>441</v>
      </c>
      <c r="AP36" t="s">
        <v>492</v>
      </c>
      <c r="BP36" t="s">
        <v>738</v>
      </c>
    </row>
    <row r="37" spans="8:68" x14ac:dyDescent="0.3">
      <c r="J37" t="s">
        <v>205</v>
      </c>
      <c r="AN37" t="s">
        <v>442</v>
      </c>
      <c r="AP37" t="s">
        <v>493</v>
      </c>
      <c r="BP37" t="s">
        <v>308</v>
      </c>
    </row>
    <row r="38" spans="8:68" x14ac:dyDescent="0.3">
      <c r="J38" t="s">
        <v>206</v>
      </c>
      <c r="AN38" t="s">
        <v>443</v>
      </c>
      <c r="AP38" t="s">
        <v>494</v>
      </c>
      <c r="BP38" t="s">
        <v>739</v>
      </c>
    </row>
    <row r="39" spans="8:68" x14ac:dyDescent="0.3">
      <c r="J39" t="s">
        <v>207</v>
      </c>
      <c r="AN39" t="s">
        <v>444</v>
      </c>
      <c r="BP39" t="s">
        <v>740</v>
      </c>
    </row>
    <row r="40" spans="8:68" x14ac:dyDescent="0.3">
      <c r="J40" t="s">
        <v>208</v>
      </c>
      <c r="AN40" t="s">
        <v>445</v>
      </c>
      <c r="BP40" t="s">
        <v>741</v>
      </c>
    </row>
    <row r="41" spans="8:68" x14ac:dyDescent="0.3">
      <c r="AN41" t="s">
        <v>446</v>
      </c>
      <c r="BP41" t="s">
        <v>742</v>
      </c>
    </row>
    <row r="42" spans="8:68" x14ac:dyDescent="0.3">
      <c r="AN42" t="s">
        <v>447</v>
      </c>
      <c r="BP42" t="s">
        <v>743</v>
      </c>
    </row>
    <row r="43" spans="8:68" x14ac:dyDescent="0.3">
      <c r="AN43" t="s">
        <v>448</v>
      </c>
      <c r="BP43" t="s">
        <v>744</v>
      </c>
    </row>
    <row r="44" spans="8:68" x14ac:dyDescent="0.3">
      <c r="AN44" t="s">
        <v>449</v>
      </c>
      <c r="BP44" t="s">
        <v>745</v>
      </c>
    </row>
    <row r="45" spans="8:68" x14ac:dyDescent="0.3">
      <c r="AN45" t="s">
        <v>450</v>
      </c>
      <c r="BP45" t="s">
        <v>746</v>
      </c>
    </row>
    <row r="46" spans="8:68" x14ac:dyDescent="0.3">
      <c r="AN46" t="s">
        <v>451</v>
      </c>
      <c r="BP46" t="s">
        <v>747</v>
      </c>
    </row>
    <row r="47" spans="8:68" x14ac:dyDescent="0.3">
      <c r="AN47" t="s">
        <v>452</v>
      </c>
      <c r="BP47" t="s">
        <v>748</v>
      </c>
    </row>
    <row r="48" spans="8:68" x14ac:dyDescent="0.3">
      <c r="AN48" t="s">
        <v>453</v>
      </c>
      <c r="BP48" t="s">
        <v>749</v>
      </c>
    </row>
    <row r="49" spans="40:68" x14ac:dyDescent="0.3">
      <c r="AN49" t="s">
        <v>454</v>
      </c>
      <c r="BP49" t="s">
        <v>750</v>
      </c>
    </row>
    <row r="50" spans="40:68" x14ac:dyDescent="0.3">
      <c r="AN50" t="s">
        <v>455</v>
      </c>
      <c r="BP50" t="s">
        <v>751</v>
      </c>
    </row>
    <row r="51" spans="40:68" x14ac:dyDescent="0.3">
      <c r="AN51" t="s">
        <v>456</v>
      </c>
      <c r="BP51" t="s">
        <v>752</v>
      </c>
    </row>
    <row r="52" spans="40:68" x14ac:dyDescent="0.3">
      <c r="AN52" t="s">
        <v>457</v>
      </c>
      <c r="BP52" t="s">
        <v>753</v>
      </c>
    </row>
    <row r="53" spans="40:68" x14ac:dyDescent="0.3">
      <c r="AN53" t="s">
        <v>458</v>
      </c>
      <c r="BP53" t="s">
        <v>754</v>
      </c>
    </row>
    <row r="54" spans="40:68" x14ac:dyDescent="0.3">
      <c r="AN54" t="s">
        <v>459</v>
      </c>
      <c r="BP54" t="s">
        <v>755</v>
      </c>
    </row>
    <row r="55" spans="40:68" x14ac:dyDescent="0.3">
      <c r="BP55" t="s">
        <v>756</v>
      </c>
    </row>
    <row r="56" spans="40:68" x14ac:dyDescent="0.3">
      <c r="BP56" t="s">
        <v>757</v>
      </c>
    </row>
    <row r="57" spans="40:68" x14ac:dyDescent="0.3">
      <c r="BP57" t="s">
        <v>758</v>
      </c>
    </row>
    <row r="58" spans="40:68" x14ac:dyDescent="0.3">
      <c r="BP58" t="s">
        <v>759</v>
      </c>
    </row>
    <row r="59" spans="40:68" x14ac:dyDescent="0.3">
      <c r="BP59" t="s">
        <v>760</v>
      </c>
    </row>
    <row r="60" spans="40:68" x14ac:dyDescent="0.3">
      <c r="BP60" t="s">
        <v>761</v>
      </c>
    </row>
    <row r="61" spans="40:68" x14ac:dyDescent="0.3">
      <c r="BP61" t="s">
        <v>762</v>
      </c>
    </row>
    <row r="62" spans="40:68" x14ac:dyDescent="0.3">
      <c r="BP62" t="s">
        <v>763</v>
      </c>
    </row>
    <row r="63" spans="40:68" x14ac:dyDescent="0.3">
      <c r="BP63" t="s">
        <v>623</v>
      </c>
    </row>
    <row r="64" spans="40:68" x14ac:dyDescent="0.3">
      <c r="BP64" t="s">
        <v>764</v>
      </c>
    </row>
    <row r="65" spans="68:68" x14ac:dyDescent="0.3">
      <c r="BP65" t="s">
        <v>765</v>
      </c>
    </row>
    <row r="66" spans="68:68" x14ac:dyDescent="0.3">
      <c r="BP66" t="s">
        <v>766</v>
      </c>
    </row>
    <row r="67" spans="68:68" x14ac:dyDescent="0.3">
      <c r="BP67" t="s">
        <v>767</v>
      </c>
    </row>
    <row r="68" spans="68:68" x14ac:dyDescent="0.3">
      <c r="BP68" t="s">
        <v>768</v>
      </c>
    </row>
    <row r="69" spans="68:68" x14ac:dyDescent="0.3">
      <c r="BP69" t="s">
        <v>769</v>
      </c>
    </row>
    <row r="70" spans="68:68" x14ac:dyDescent="0.3">
      <c r="BP70" t="s">
        <v>770</v>
      </c>
    </row>
    <row r="71" spans="68:68" x14ac:dyDescent="0.3">
      <c r="BP71" t="s">
        <v>771</v>
      </c>
    </row>
    <row r="72" spans="68:68" x14ac:dyDescent="0.3">
      <c r="BP72" t="s">
        <v>772</v>
      </c>
    </row>
    <row r="73" spans="68:68" x14ac:dyDescent="0.3">
      <c r="BP73" t="s">
        <v>773</v>
      </c>
    </row>
    <row r="74" spans="68:68" x14ac:dyDescent="0.3">
      <c r="BP74" t="s">
        <v>774</v>
      </c>
    </row>
    <row r="75" spans="68:68" x14ac:dyDescent="0.3">
      <c r="BP75" t="s">
        <v>775</v>
      </c>
    </row>
    <row r="76" spans="68:68" x14ac:dyDescent="0.3">
      <c r="BP76" t="s">
        <v>776</v>
      </c>
    </row>
    <row r="77" spans="68:68" x14ac:dyDescent="0.3">
      <c r="BP77" t="s">
        <v>777</v>
      </c>
    </row>
  </sheetData>
  <pageMargins left="0.7" right="0.7" top="0.75" bottom="0.75" header="0.3" footer="0.3"/>
  <tableParts count="3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38"/>
  <sheetViews>
    <sheetView showGridLines="0" workbookViewId="0">
      <selection activeCell="H5" sqref="H5"/>
    </sheetView>
  </sheetViews>
  <sheetFormatPr defaultRowHeight="14.4" x14ac:dyDescent="0.3"/>
  <cols>
    <col min="1" max="1" width="0.88671875" customWidth="1"/>
    <col min="2" max="2" width="25.6640625" bestFit="1" customWidth="1"/>
    <col min="3" max="3" width="0.88671875" customWidth="1"/>
    <col min="4" max="4" width="15.6640625" customWidth="1"/>
    <col min="5" max="5" width="0.88671875" customWidth="1"/>
    <col min="6" max="6" width="15.6640625" customWidth="1"/>
    <col min="7" max="7" width="0.88671875" customWidth="1"/>
    <col min="8" max="8" width="20.5546875" bestFit="1" customWidth="1"/>
  </cols>
  <sheetData>
    <row r="1" spans="2:9" ht="5.0999999999999996" customHeight="1" x14ac:dyDescent="0.3"/>
    <row r="2" spans="2:9" x14ac:dyDescent="0.3">
      <c r="B2" s="1" t="s">
        <v>80</v>
      </c>
      <c r="D2" s="1" t="s">
        <v>31</v>
      </c>
      <c r="F2" s="1" t="s">
        <v>32</v>
      </c>
      <c r="H2" s="1" t="s">
        <v>25</v>
      </c>
      <c r="I2" t="s">
        <v>1763</v>
      </c>
    </row>
    <row r="3" spans="2:9" x14ac:dyDescent="0.3">
      <c r="B3" t="s">
        <v>82</v>
      </c>
      <c r="D3" t="s">
        <v>36</v>
      </c>
      <c r="F3" t="s">
        <v>43</v>
      </c>
      <c r="H3" t="s">
        <v>1752</v>
      </c>
      <c r="I3" t="s">
        <v>1769</v>
      </c>
    </row>
    <row r="4" spans="2:9" x14ac:dyDescent="0.3">
      <c r="B4" t="s">
        <v>83</v>
      </c>
      <c r="D4" t="s">
        <v>37</v>
      </c>
      <c r="F4" t="s">
        <v>44</v>
      </c>
      <c r="H4" t="s">
        <v>1753</v>
      </c>
      <c r="I4" t="s">
        <v>1770</v>
      </c>
    </row>
    <row r="5" spans="2:9" x14ac:dyDescent="0.3">
      <c r="B5" t="s">
        <v>84</v>
      </c>
      <c r="D5" t="s">
        <v>38</v>
      </c>
      <c r="F5" t="s">
        <v>45</v>
      </c>
      <c r="H5" t="s">
        <v>1754</v>
      </c>
      <c r="I5" t="s">
        <v>1771</v>
      </c>
    </row>
    <row r="6" spans="2:9" x14ac:dyDescent="0.3">
      <c r="B6" t="s">
        <v>57</v>
      </c>
      <c r="D6" t="s">
        <v>39</v>
      </c>
      <c r="F6" t="s">
        <v>46</v>
      </c>
      <c r="H6" t="s">
        <v>1755</v>
      </c>
      <c r="I6" t="s">
        <v>1772</v>
      </c>
    </row>
    <row r="7" spans="2:9" x14ac:dyDescent="0.3">
      <c r="B7" t="s">
        <v>58</v>
      </c>
      <c r="D7" t="s">
        <v>40</v>
      </c>
      <c r="F7" t="s">
        <v>47</v>
      </c>
      <c r="H7" t="s">
        <v>1756</v>
      </c>
      <c r="I7" t="s">
        <v>1773</v>
      </c>
    </row>
    <row r="8" spans="2:9" x14ac:dyDescent="0.3">
      <c r="B8" t="s">
        <v>59</v>
      </c>
      <c r="D8" t="s">
        <v>41</v>
      </c>
      <c r="H8" t="s">
        <v>1757</v>
      </c>
      <c r="I8" t="s">
        <v>1774</v>
      </c>
    </row>
    <row r="9" spans="2:9" x14ac:dyDescent="0.3">
      <c r="B9" t="s">
        <v>60</v>
      </c>
      <c r="D9" t="s">
        <v>42</v>
      </c>
      <c r="H9" t="s">
        <v>1758</v>
      </c>
      <c r="I9" t="s">
        <v>1775</v>
      </c>
    </row>
    <row r="10" spans="2:9" x14ac:dyDescent="0.3">
      <c r="B10" t="s">
        <v>85</v>
      </c>
      <c r="H10" t="s">
        <v>1759</v>
      </c>
      <c r="I10" t="s">
        <v>1776</v>
      </c>
    </row>
    <row r="11" spans="2:9" x14ac:dyDescent="0.3">
      <c r="B11" t="s">
        <v>86</v>
      </c>
      <c r="H11" t="s">
        <v>1760</v>
      </c>
      <c r="I11" t="s">
        <v>1777</v>
      </c>
    </row>
    <row r="12" spans="2:9" x14ac:dyDescent="0.3">
      <c r="B12" t="s">
        <v>61</v>
      </c>
      <c r="H12" t="s">
        <v>1761</v>
      </c>
      <c r="I12" t="s">
        <v>1778</v>
      </c>
    </row>
    <row r="13" spans="2:9" x14ac:dyDescent="0.3">
      <c r="B13" t="s">
        <v>62</v>
      </c>
      <c r="H13" t="s">
        <v>1762</v>
      </c>
      <c r="I13" t="s">
        <v>1779</v>
      </c>
    </row>
    <row r="14" spans="2:9" x14ac:dyDescent="0.3">
      <c r="B14" t="s">
        <v>63</v>
      </c>
      <c r="D14" s="1" t="s">
        <v>30</v>
      </c>
    </row>
    <row r="15" spans="2:9" x14ac:dyDescent="0.3">
      <c r="B15" t="s">
        <v>64</v>
      </c>
      <c r="D15" t="s">
        <v>48</v>
      </c>
    </row>
    <row r="16" spans="2:9" x14ac:dyDescent="0.3">
      <c r="B16" t="s">
        <v>87</v>
      </c>
      <c r="D16" t="s">
        <v>49</v>
      </c>
    </row>
    <row r="17" spans="2:4" x14ac:dyDescent="0.3">
      <c r="B17" t="s">
        <v>88</v>
      </c>
      <c r="D17" t="s">
        <v>50</v>
      </c>
    </row>
    <row r="18" spans="2:4" x14ac:dyDescent="0.3">
      <c r="B18" t="s">
        <v>65</v>
      </c>
      <c r="D18" t="s">
        <v>51</v>
      </c>
    </row>
    <row r="19" spans="2:4" x14ac:dyDescent="0.3">
      <c r="B19" t="s">
        <v>66</v>
      </c>
      <c r="D19" t="s">
        <v>52</v>
      </c>
    </row>
    <row r="20" spans="2:4" x14ac:dyDescent="0.3">
      <c r="B20" t="s">
        <v>67</v>
      </c>
      <c r="D20" t="s">
        <v>53</v>
      </c>
    </row>
    <row r="21" spans="2:4" x14ac:dyDescent="0.3">
      <c r="B21" t="s">
        <v>68</v>
      </c>
      <c r="D21" t="s">
        <v>54</v>
      </c>
    </row>
    <row r="22" spans="2:4" x14ac:dyDescent="0.3">
      <c r="B22" t="s">
        <v>89</v>
      </c>
      <c r="D22" t="s">
        <v>55</v>
      </c>
    </row>
    <row r="23" spans="2:4" x14ac:dyDescent="0.3">
      <c r="B23" t="s">
        <v>69</v>
      </c>
      <c r="D23" t="s">
        <v>56</v>
      </c>
    </row>
    <row r="24" spans="2:4" x14ac:dyDescent="0.3">
      <c r="B24" t="s">
        <v>70</v>
      </c>
    </row>
    <row r="25" spans="2:4" x14ac:dyDescent="0.3">
      <c r="B25" t="s">
        <v>71</v>
      </c>
    </row>
    <row r="26" spans="2:4" x14ac:dyDescent="0.3">
      <c r="B26" t="s">
        <v>72</v>
      </c>
    </row>
    <row r="27" spans="2:4" x14ac:dyDescent="0.3">
      <c r="B27" t="s">
        <v>73</v>
      </c>
    </row>
    <row r="28" spans="2:4" x14ac:dyDescent="0.3">
      <c r="B28" t="s">
        <v>90</v>
      </c>
    </row>
    <row r="29" spans="2:4" x14ac:dyDescent="0.3">
      <c r="B29" t="s">
        <v>74</v>
      </c>
    </row>
    <row r="30" spans="2:4" x14ac:dyDescent="0.3">
      <c r="B30" t="s">
        <v>75</v>
      </c>
    </row>
    <row r="31" spans="2:4" x14ac:dyDescent="0.3">
      <c r="B31" t="s">
        <v>76</v>
      </c>
    </row>
    <row r="32" spans="2:4" x14ac:dyDescent="0.3">
      <c r="B32" t="s">
        <v>77</v>
      </c>
    </row>
    <row r="33" spans="2:2" x14ac:dyDescent="0.3">
      <c r="B33" t="s">
        <v>91</v>
      </c>
    </row>
    <row r="34" spans="2:2" x14ac:dyDescent="0.3">
      <c r="B34" t="s">
        <v>92</v>
      </c>
    </row>
    <row r="35" spans="2:2" x14ac:dyDescent="0.3">
      <c r="B35" t="s">
        <v>78</v>
      </c>
    </row>
    <row r="36" spans="2:2" x14ac:dyDescent="0.3">
      <c r="B36" t="s">
        <v>93</v>
      </c>
    </row>
    <row r="37" spans="2:2" x14ac:dyDescent="0.3">
      <c r="B37" t="s">
        <v>79</v>
      </c>
    </row>
    <row r="38" spans="2:2" x14ac:dyDescent="0.3">
      <c r="B38" t="s">
        <v>96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I29"/>
  <sheetViews>
    <sheetView tabSelected="1" workbookViewId="0"/>
  </sheetViews>
  <sheetFormatPr defaultColWidth="9.109375" defaultRowHeight="14.4" x14ac:dyDescent="0.3"/>
  <cols>
    <col min="1" max="1" width="6.6640625" style="2" customWidth="1"/>
    <col min="2" max="2" width="17.6640625" style="2" customWidth="1"/>
    <col min="3" max="3" width="25.6640625" style="2" customWidth="1"/>
    <col min="4" max="4" width="17.6640625" style="2" customWidth="1"/>
    <col min="5" max="5" width="25.6640625" style="2" customWidth="1"/>
    <col min="6" max="6" width="17.6640625" style="2" customWidth="1"/>
    <col min="7" max="7" width="25.6640625" style="2" customWidth="1"/>
    <col min="8" max="8" width="17.6640625" style="2" customWidth="1"/>
    <col min="9" max="9" width="25.6640625" style="2" customWidth="1"/>
    <col min="10" max="10" width="6.6640625" style="2" customWidth="1"/>
    <col min="11" max="16384" width="9.109375" style="2"/>
  </cols>
  <sheetData>
    <row r="1" spans="2:9" ht="5.0999999999999996" customHeight="1" x14ac:dyDescent="0.3"/>
    <row r="3" spans="2:9" x14ac:dyDescent="0.3">
      <c r="F3" s="3"/>
      <c r="G3" s="3"/>
      <c r="H3" s="3"/>
      <c r="I3" s="3"/>
    </row>
    <row r="6" spans="2:9" ht="15" thickBot="1" x14ac:dyDescent="0.35">
      <c r="B6" s="6" t="s">
        <v>14</v>
      </c>
      <c r="C6" s="5"/>
      <c r="D6" s="6" t="s">
        <v>13</v>
      </c>
      <c r="E6" s="5"/>
      <c r="F6" s="6" t="s">
        <v>15</v>
      </c>
      <c r="G6" s="5"/>
      <c r="H6" s="6" t="s">
        <v>19</v>
      </c>
      <c r="I6" s="5"/>
    </row>
    <row r="7" spans="2:9" ht="5.0999999999999996" customHeight="1" x14ac:dyDescent="0.3">
      <c r="B7" s="4"/>
      <c r="C7" s="4"/>
      <c r="D7" s="8" t="s">
        <v>31</v>
      </c>
      <c r="E7" s="4"/>
      <c r="F7" s="4"/>
      <c r="G7" s="4"/>
      <c r="H7" s="4" t="s">
        <v>32</v>
      </c>
    </row>
    <row r="8" spans="2:9" ht="15" thickBot="1" x14ac:dyDescent="0.35">
      <c r="B8" s="6" t="s">
        <v>16</v>
      </c>
      <c r="C8" s="5"/>
      <c r="D8" s="6" t="s">
        <v>17</v>
      </c>
      <c r="E8" s="5"/>
      <c r="F8" s="6" t="s">
        <v>18</v>
      </c>
      <c r="G8" s="5"/>
      <c r="H8" s="6" t="s">
        <v>22</v>
      </c>
      <c r="I8" s="5"/>
    </row>
    <row r="9" spans="2:9" ht="5.0999999999999996" customHeight="1" x14ac:dyDescent="0.3">
      <c r="B9" s="4"/>
      <c r="C9" s="4"/>
      <c r="D9" s="4"/>
      <c r="E9" s="4"/>
      <c r="F9" s="4" t="s">
        <v>30</v>
      </c>
      <c r="G9" s="4"/>
      <c r="H9" s="4"/>
    </row>
    <row r="10" spans="2:9" ht="15" thickBot="1" x14ac:dyDescent="0.35">
      <c r="B10" s="6" t="s">
        <v>21</v>
      </c>
      <c r="C10" s="5"/>
      <c r="D10" s="6" t="s">
        <v>23</v>
      </c>
      <c r="E10" s="5"/>
      <c r="F10" s="6" t="s">
        <v>20</v>
      </c>
      <c r="G10" s="5"/>
    </row>
    <row r="11" spans="2:9" x14ac:dyDescent="0.3">
      <c r="B11" s="4"/>
      <c r="C11" s="4"/>
      <c r="D11" s="4"/>
      <c r="F11" s="4"/>
    </row>
    <row r="13" spans="2:9" ht="5.0999999999999996" customHeight="1" x14ac:dyDescent="0.3"/>
    <row r="14" spans="2:9" ht="15" thickBot="1" x14ac:dyDescent="0.35">
      <c r="B14" s="6" t="s">
        <v>0</v>
      </c>
      <c r="C14" s="5"/>
      <c r="D14" s="6" t="s">
        <v>1</v>
      </c>
      <c r="E14" s="5"/>
      <c r="F14" s="6" t="s">
        <v>10</v>
      </c>
      <c r="G14" s="5"/>
      <c r="H14" s="6" t="s">
        <v>11</v>
      </c>
      <c r="I14" s="5"/>
    </row>
    <row r="15" spans="2:9" ht="5.0999999999999996" customHeight="1" x14ac:dyDescent="0.3"/>
    <row r="16" spans="2:9" ht="15" thickBot="1" x14ac:dyDescent="0.35">
      <c r="B16" s="6" t="s">
        <v>12</v>
      </c>
      <c r="C16" s="5"/>
      <c r="D16" s="6" t="s">
        <v>29</v>
      </c>
      <c r="E16" s="5"/>
      <c r="F16" s="6" t="s">
        <v>2</v>
      </c>
      <c r="G16" s="5"/>
      <c r="H16" s="6" t="s">
        <v>3</v>
      </c>
      <c r="I16" s="5"/>
    </row>
    <row r="17" spans="2:9" ht="5.0999999999999996" customHeight="1" x14ac:dyDescent="0.3">
      <c r="B17" s="4"/>
      <c r="C17" s="4"/>
      <c r="D17" s="4"/>
      <c r="E17" s="4"/>
      <c r="F17" s="4"/>
      <c r="G17" s="4"/>
      <c r="H17" s="4"/>
    </row>
    <row r="18" spans="2:9" ht="15" thickBot="1" x14ac:dyDescent="0.35">
      <c r="B18" s="6" t="s">
        <v>6</v>
      </c>
      <c r="C18" s="5"/>
      <c r="D18" s="6" t="s">
        <v>5</v>
      </c>
      <c r="E18" s="5"/>
      <c r="F18" s="6" t="s">
        <v>81</v>
      </c>
      <c r="G18" s="5"/>
      <c r="H18" s="6" t="s">
        <v>7</v>
      </c>
      <c r="I18" s="5"/>
    </row>
    <row r="19" spans="2:9" ht="5.0999999999999996" customHeight="1" x14ac:dyDescent="0.3">
      <c r="B19" s="4"/>
      <c r="C19" s="4" t="str">
        <f>"tbl"&amp;C18</f>
        <v>tbl</v>
      </c>
      <c r="D19" s="4"/>
      <c r="F19" s="4"/>
      <c r="G19" s="4"/>
      <c r="H19" s="4"/>
    </row>
    <row r="20" spans="2:9" ht="15" thickBot="1" x14ac:dyDescent="0.35">
      <c r="B20" s="6" t="s">
        <v>4</v>
      </c>
      <c r="C20" s="5"/>
      <c r="D20" s="6" t="s">
        <v>8</v>
      </c>
      <c r="E20" s="5"/>
      <c r="F20" s="6" t="s">
        <v>9</v>
      </c>
      <c r="G20" s="5"/>
      <c r="H20" s="3"/>
    </row>
    <row r="21" spans="2:9" ht="5.0999999999999996" customHeight="1" x14ac:dyDescent="0.3">
      <c r="B21" s="4"/>
      <c r="D21" s="4"/>
      <c r="E21" s="4"/>
      <c r="F21" s="4"/>
      <c r="G21" s="4"/>
      <c r="H21" s="4"/>
    </row>
    <row r="22" spans="2:9" x14ac:dyDescent="0.3">
      <c r="H22" s="3"/>
    </row>
    <row r="23" spans="2:9" x14ac:dyDescent="0.3">
      <c r="H23" s="3"/>
    </row>
    <row r="24" spans="2:9" x14ac:dyDescent="0.3">
      <c r="F24" s="7" t="s">
        <v>33</v>
      </c>
      <c r="G24" s="8">
        <v>500</v>
      </c>
    </row>
    <row r="25" spans="2:9" x14ac:dyDescent="0.3">
      <c r="F25" s="7" t="s">
        <v>35</v>
      </c>
      <c r="G25" s="8">
        <v>210</v>
      </c>
    </row>
    <row r="26" spans="2:9" x14ac:dyDescent="0.3">
      <c r="F26" s="7" t="s">
        <v>34</v>
      </c>
      <c r="G26" s="8">
        <f>G24-G25</f>
        <v>290</v>
      </c>
    </row>
    <row r="27" spans="2:9" x14ac:dyDescent="0.3">
      <c r="F27" s="7" t="s">
        <v>1767</v>
      </c>
      <c r="G27" s="8">
        <v>50</v>
      </c>
    </row>
    <row r="28" spans="2:9" x14ac:dyDescent="0.3">
      <c r="F28" s="7" t="s">
        <v>94</v>
      </c>
      <c r="G28" s="9">
        <f>1-G29</f>
        <v>0.42000000000000004</v>
      </c>
    </row>
    <row r="29" spans="2:9" x14ac:dyDescent="0.3">
      <c r="F29" s="7" t="s">
        <v>95</v>
      </c>
      <c r="G29" s="10">
        <f>IFERROR((G26/G24),0)</f>
        <v>0.57999999999999996</v>
      </c>
    </row>
  </sheetData>
  <dataValidations count="10">
    <dataValidation type="list" allowBlank="1" showInputMessage="1" showErrorMessage="1" errorTitle="Customer Relationship Manager" error="Hey, Buddy! Please select a Value only from the Dropdown." sqref="G8 E6 I6">
      <formula1>INDIRECT(D7)</formula1>
    </dataValidation>
    <dataValidation type="whole" allowBlank="1" showInputMessage="1" showErrorMessage="1" errorTitle="Customer Relationship Manager" error="Hey, Buddy! Guess the value entered is Invalid. Retry again with a Value from 1 - 100." sqref="I8">
      <formula1>1</formula1>
      <formula2>100</formula2>
    </dataValidation>
    <dataValidation type="textLength" allowBlank="1" showInputMessage="1" showErrorMessage="1" errorTitle="Customer Relationship Manager" error="Hey, Buddy! Pin Code should be in the length of 6 Digits." sqref="G20">
      <formula1>6</formula1>
      <formula2>6</formula2>
    </dataValidation>
    <dataValidation type="list" allowBlank="1" showInputMessage="1" showErrorMessage="1" errorTitle="Customer Relationship Manager" error="Hey, Buddy! Please select a Value only from the Dropdown." sqref="C10">
      <formula1>"Yes,No,Partially Delivered"</formula1>
    </dataValidation>
    <dataValidation type="list" allowBlank="1" showInputMessage="1" showErrorMessage="1" errorTitle="Customer Relationship Manager" error="Hey, Buddy! Please select a Value only from the Dropdown." sqref="G10">
      <formula1>"Yes,No,Partially Entered"</formula1>
    </dataValidation>
    <dataValidation type="date" operator="greaterThanOrEqual" allowBlank="1" showInputMessage="1" showErrorMessage="1" errorTitle="Customer Relationship Manager" error="Hey, Buddy! Guess the format is incorrecr or the Date is before 01/01/2019. Please enter a Date on or after 01/01/2019." sqref="G6">
      <formula1>43466</formula1>
    </dataValidation>
    <dataValidation type="textLength" operator="equal" allowBlank="1" showInputMessage="1" showErrorMessage="1" errorTitle="Customer Relationship Manager" error="Hey, Buddy! Mobile Numbers are in the Length of 10 Digits." sqref="G14 I14 C16">
      <formula1>10</formula1>
    </dataValidation>
    <dataValidation type="list" allowBlank="1" showInputMessage="1" showErrorMessage="1" errorTitle="Customer Relationship Manager" error="Hey, Buddy! Please select a Value only from the Dropdown." sqref="C18">
      <formula1>INDIRECT(B18)</formula1>
    </dataValidation>
    <dataValidation type="list" allowBlank="1" showInputMessage="1" showErrorMessage="1" errorTitle="Customer Relationship Manager" error="Hey, Buddy! Please select a Value only from the Dropdown." sqref="E18">
      <formula1>INDIRECT(C18)</formula1>
    </dataValidation>
    <dataValidation type="list" allowBlank="1" showInputMessage="1" showErrorMessage="1" sqref="G18">
      <formula1>INDIRECT(C19)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365760</xdr:colOff>
                    <xdr:row>4</xdr:row>
                    <xdr:rowOff>106680</xdr:rowOff>
                  </from>
                  <to>
                    <xdr:col>9</xdr:col>
                    <xdr:colOff>83820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0</xdr:col>
                    <xdr:colOff>365760</xdr:colOff>
                    <xdr:row>11</xdr:row>
                    <xdr:rowOff>175260</xdr:rowOff>
                  </from>
                  <to>
                    <xdr:col>9</xdr:col>
                    <xdr:colOff>83820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4</xdr:col>
                    <xdr:colOff>1645920</xdr:colOff>
                    <xdr:row>21</xdr:row>
                    <xdr:rowOff>114300</xdr:rowOff>
                  </from>
                  <to>
                    <xdr:col>9</xdr:col>
                    <xdr:colOff>83820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Group Box 4">
              <controlPr defaultSize="0" autoFill="0" autoPict="0">
                <anchor moveWithCells="1">
                  <from>
                    <xdr:col>0</xdr:col>
                    <xdr:colOff>365760</xdr:colOff>
                    <xdr:row>21</xdr:row>
                    <xdr:rowOff>114300</xdr:rowOff>
                  </from>
                  <to>
                    <xdr:col>4</xdr:col>
                    <xdr:colOff>1607820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Button17_Click">
                <anchor moveWithCells="1" sizeWithCells="1">
                  <from>
                    <xdr:col>7</xdr:col>
                    <xdr:colOff>998220</xdr:colOff>
                    <xdr:row>1</xdr:row>
                    <xdr:rowOff>160020</xdr:rowOff>
                  </from>
                  <to>
                    <xdr:col>8</xdr:col>
                    <xdr:colOff>731520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NavSubmit">
                <anchor moveWithCells="1" sizeWithCells="1">
                  <from>
                    <xdr:col>7</xdr:col>
                    <xdr:colOff>1013460</xdr:colOff>
                    <xdr:row>18</xdr:row>
                    <xdr:rowOff>38100</xdr:rowOff>
                  </from>
                  <to>
                    <xdr:col>8</xdr:col>
                    <xdr:colOff>746760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Button17_Click">
                <anchor moveWithCells="1" sizeWithCells="1">
                  <from>
                    <xdr:col>8</xdr:col>
                    <xdr:colOff>830580</xdr:colOff>
                    <xdr:row>1</xdr:row>
                    <xdr:rowOff>160020</xdr:rowOff>
                  </from>
                  <to>
                    <xdr:col>9</xdr:col>
                    <xdr:colOff>30480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Group Box 21">
              <controlPr defaultSize="0" autoFill="0" autoPict="0">
                <anchor moveWithCells="1">
                  <from>
                    <xdr:col>6</xdr:col>
                    <xdr:colOff>632460</xdr:colOff>
                    <xdr:row>0</xdr:row>
                    <xdr:rowOff>30480</xdr:rowOff>
                  </from>
                  <to>
                    <xdr:col>9</xdr:col>
                    <xdr:colOff>99060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NavHistory">
                <anchor moveWithCells="1" sizeWithCells="1">
                  <from>
                    <xdr:col>6</xdr:col>
                    <xdr:colOff>1706880</xdr:colOff>
                    <xdr:row>1</xdr:row>
                    <xdr:rowOff>160020</xdr:rowOff>
                  </from>
                  <to>
                    <xdr:col>7</xdr:col>
                    <xdr:colOff>906780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3" name="Button 25">
              <controlPr defaultSize="0" print="0" autoFill="0" autoPict="0" macro="[0]!NavEntry">
                <anchor moveWithCells="1" sizeWithCells="1">
                  <from>
                    <xdr:col>6</xdr:col>
                    <xdr:colOff>685800</xdr:colOff>
                    <xdr:row>1</xdr:row>
                    <xdr:rowOff>160020</xdr:rowOff>
                  </from>
                  <to>
                    <xdr:col>6</xdr:col>
                    <xdr:colOff>1600200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"/>
  <sheetViews>
    <sheetView workbookViewId="0"/>
  </sheetViews>
  <sheetFormatPr defaultRowHeight="14.4" x14ac:dyDescent="0.3"/>
  <cols>
    <col min="1" max="1" width="6.6640625" customWidth="1"/>
    <col min="2" max="2" width="20.6640625" customWidth="1"/>
    <col min="3" max="3" width="50.6640625" customWidth="1"/>
    <col min="4" max="5" width="20.6640625" customWidth="1"/>
    <col min="6" max="9" width="13.6640625" customWidth="1"/>
  </cols>
  <sheetData>
    <row r="1" spans="1:9" x14ac:dyDescent="0.3">
      <c r="A1">
        <f>VALUE(Entry!C6&amp;1)</f>
        <v>1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23</v>
      </c>
      <c r="G1" s="1" t="s">
        <v>24</v>
      </c>
      <c r="H1" s="1" t="s">
        <v>1780</v>
      </c>
      <c r="I1" s="1" t="s">
        <v>1781</v>
      </c>
    </row>
    <row r="2" spans="1:9" x14ac:dyDescent="0.3">
      <c r="A2">
        <f>A1+1</f>
        <v>2</v>
      </c>
      <c r="B2" t="s">
        <v>1782</v>
      </c>
      <c r="C2" t="s">
        <v>1783</v>
      </c>
    </row>
    <row r="3" spans="1:9" x14ac:dyDescent="0.3">
      <c r="A3">
        <f t="shared" ref="A3:A10" si="0">A2+1</f>
        <v>3</v>
      </c>
      <c r="B3" t="s">
        <v>1784</v>
      </c>
      <c r="C3" t="s">
        <v>1785</v>
      </c>
    </row>
    <row r="4" spans="1:9" x14ac:dyDescent="0.3">
      <c r="A4">
        <f t="shared" si="0"/>
        <v>4</v>
      </c>
      <c r="B4" t="s">
        <v>1786</v>
      </c>
      <c r="C4" t="s">
        <v>1786</v>
      </c>
    </row>
    <row r="5" spans="1:9" x14ac:dyDescent="0.3">
      <c r="A5">
        <f t="shared" si="0"/>
        <v>5</v>
      </c>
      <c r="B5" t="s">
        <v>1787</v>
      </c>
      <c r="C5" t="s">
        <v>1787</v>
      </c>
    </row>
    <row r="6" spans="1:9" x14ac:dyDescent="0.3">
      <c r="A6">
        <f t="shared" si="0"/>
        <v>6</v>
      </c>
      <c r="B6" t="s">
        <v>1788</v>
      </c>
      <c r="C6" t="s">
        <v>1788</v>
      </c>
    </row>
    <row r="7" spans="1:9" x14ac:dyDescent="0.3">
      <c r="A7">
        <f t="shared" si="0"/>
        <v>7</v>
      </c>
    </row>
    <row r="8" spans="1:9" x14ac:dyDescent="0.3">
      <c r="A8">
        <f t="shared" si="0"/>
        <v>8</v>
      </c>
    </row>
    <row r="9" spans="1:9" x14ac:dyDescent="0.3">
      <c r="A9">
        <f t="shared" si="0"/>
        <v>9</v>
      </c>
    </row>
    <row r="10" spans="1:9" x14ac:dyDescent="0.3">
      <c r="A10">
        <f t="shared" si="0"/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1"/>
  <sheetViews>
    <sheetView showGridLines="0" workbookViewId="0">
      <selection activeCell="G8" sqref="G8"/>
    </sheetView>
  </sheetViews>
  <sheetFormatPr defaultRowHeight="14.4" x14ac:dyDescent="0.3"/>
  <cols>
    <col min="1" max="35" width="15.6640625" customWidth="1"/>
  </cols>
  <sheetData>
    <row r="1" spans="1:35" x14ac:dyDescent="0.3">
      <c r="A1" s="1" t="s">
        <v>14</v>
      </c>
      <c r="B1" s="1" t="s">
        <v>13</v>
      </c>
      <c r="C1" s="1" t="s">
        <v>15</v>
      </c>
      <c r="D1" s="1" t="s">
        <v>19</v>
      </c>
      <c r="E1" s="1" t="s">
        <v>16</v>
      </c>
      <c r="F1" s="1" t="s">
        <v>17</v>
      </c>
      <c r="G1" s="1" t="s">
        <v>18</v>
      </c>
      <c r="H1" s="1" t="s">
        <v>22</v>
      </c>
      <c r="I1" s="1" t="s">
        <v>21</v>
      </c>
      <c r="J1" s="1" t="s">
        <v>23</v>
      </c>
      <c r="K1" s="1" t="s">
        <v>20</v>
      </c>
      <c r="L1" s="1" t="s">
        <v>0</v>
      </c>
      <c r="M1" s="1" t="s">
        <v>1</v>
      </c>
      <c r="N1" s="1" t="s">
        <v>10</v>
      </c>
      <c r="O1" s="1" t="s">
        <v>11</v>
      </c>
      <c r="P1" s="1" t="s">
        <v>12</v>
      </c>
      <c r="Q1" s="1" t="s">
        <v>29</v>
      </c>
      <c r="R1" s="1" t="s">
        <v>2</v>
      </c>
      <c r="S1" s="1" t="s">
        <v>3</v>
      </c>
      <c r="T1" s="1" t="s">
        <v>6</v>
      </c>
      <c r="U1" s="1" t="s">
        <v>5</v>
      </c>
      <c r="V1" s="1" t="s">
        <v>81</v>
      </c>
      <c r="W1" s="1" t="s">
        <v>7</v>
      </c>
      <c r="X1" s="1" t="s">
        <v>4</v>
      </c>
      <c r="Y1" s="1" t="s">
        <v>8</v>
      </c>
      <c r="Z1" s="1" t="s">
        <v>9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23</v>
      </c>
      <c r="AF1" s="1" t="s">
        <v>24</v>
      </c>
      <c r="AG1" s="1" t="s">
        <v>1780</v>
      </c>
      <c r="AH1" s="1" t="s">
        <v>1781</v>
      </c>
      <c r="AI1" s="1" t="s">
        <v>1768</v>
      </c>
    </row>
    <row r="11" spans="1:35" x14ac:dyDescent="0.3">
      <c r="AD11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workbookViewId="0"/>
  </sheetViews>
  <sheetFormatPr defaultRowHeight="14.4" x14ac:dyDescent="0.3"/>
  <cols>
    <col min="1" max="4" width="15.6640625" customWidth="1"/>
  </cols>
  <sheetData>
    <row r="1" spans="1:4" x14ac:dyDescent="0.3">
      <c r="A1" s="1" t="s">
        <v>14</v>
      </c>
      <c r="B1" s="1" t="s">
        <v>1764</v>
      </c>
      <c r="C1" s="1" t="s">
        <v>1765</v>
      </c>
      <c r="D1" s="1" t="s">
        <v>1766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4.4" x14ac:dyDescent="0.3"/>
  <cols>
    <col min="1" max="7" width="15.6640625" customWidth="1"/>
  </cols>
  <sheetData>
    <row r="1" spans="1:7" x14ac:dyDescent="0.3">
      <c r="A1" s="1" t="s">
        <v>14</v>
      </c>
      <c r="B1" s="1" t="s">
        <v>13</v>
      </c>
      <c r="C1" s="1" t="s">
        <v>15</v>
      </c>
      <c r="D1" s="1" t="s">
        <v>19</v>
      </c>
      <c r="E1" s="1" t="s">
        <v>0</v>
      </c>
      <c r="F1" s="1" t="s">
        <v>1</v>
      </c>
      <c r="G1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56836C-5D17-4385-AD43-439D01886B0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CitySetup</vt:lpstr>
      <vt:lpstr>DistrictSetup</vt:lpstr>
      <vt:lpstr>GeneralSetup</vt:lpstr>
      <vt:lpstr>Entry</vt:lpstr>
      <vt:lpstr>History </vt:lpstr>
      <vt:lpstr>HistoryCache</vt:lpstr>
      <vt:lpstr>LogCache</vt:lpstr>
      <vt:lpstr>WorkQueue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</cp:lastModifiedBy>
  <dcterms:created xsi:type="dcterms:W3CDTF">2019-02-15T09:35:29Z</dcterms:created>
  <dcterms:modified xsi:type="dcterms:W3CDTF">2022-11-22T07:21:57Z</dcterms:modified>
</cp:coreProperties>
</file>