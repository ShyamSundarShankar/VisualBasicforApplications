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 Sundar Shankar\Desktop\"/>
    </mc:Choice>
  </mc:AlternateContent>
  <xr:revisionPtr revIDLastSave="0" documentId="10_ncr:100000_{BD09117A-6B8E-448D-B65C-985E1BD9D7CC}" xr6:coauthVersionLast="31" xr6:coauthVersionMax="31" xr10:uidLastSave="{00000000-0000-0000-0000-000000000000}"/>
  <bookViews>
    <workbookView showHorizontalScroll="0" showVerticalScroll="0" showSheetTabs="0" xWindow="0" yWindow="0" windowWidth="20490" windowHeight="7755" xr2:uid="{00000000-000D-0000-FFFF-FFFF00000000}"/>
  </bookViews>
  <sheets>
    <sheet name="Data" sheetId="1" r:id="rId1"/>
    <sheet name="Mail Recipients" sheetId="4" r:id="rId2"/>
    <sheet name="Controls" sheetId="2" state="hidden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5" i="4"/>
  <c r="E3" i="2" l="1"/>
  <c r="E4" i="2"/>
  <c r="E5" i="2"/>
  <c r="E2" i="2"/>
  <c r="B5" i="4"/>
  <c r="B4" i="4"/>
  <c r="B1" i="1" s="1"/>
  <c r="C1" i="1"/>
  <c r="A2" i="1" l="1"/>
  <c r="A3" i="1"/>
  <c r="I5" i="1"/>
  <c r="L4" i="1"/>
  <c r="A1" i="1" l="1"/>
</calcChain>
</file>

<file path=xl/sharedStrings.xml><?xml version="1.0" encoding="utf-8"?>
<sst xmlns="http://schemas.openxmlformats.org/spreadsheetml/2006/main" count="107" uniqueCount="69">
  <si>
    <t>Date</t>
  </si>
  <si>
    <t>Task</t>
  </si>
  <si>
    <t>Project</t>
  </si>
  <si>
    <t>Department</t>
  </si>
  <si>
    <t>Start Time</t>
  </si>
  <si>
    <t>End Time</t>
  </si>
  <si>
    <t>Duration</t>
  </si>
  <si>
    <t>Management</t>
  </si>
  <si>
    <t>Technology</t>
  </si>
  <si>
    <t>Marketing</t>
  </si>
  <si>
    <t>Client</t>
  </si>
  <si>
    <t>Project A</t>
  </si>
  <si>
    <t>Project B</t>
  </si>
  <si>
    <t>User Name</t>
  </si>
  <si>
    <t>Supervisor</t>
  </si>
  <si>
    <t>Field</t>
  </si>
  <si>
    <t>To</t>
  </si>
  <si>
    <t>CC</t>
  </si>
  <si>
    <t>Salutation</t>
  </si>
  <si>
    <t>All ID</t>
  </si>
  <si>
    <t>Mail 1 ID</t>
  </si>
  <si>
    <t>Mail 2 ID</t>
  </si>
  <si>
    <t>Mail 3 ID</t>
  </si>
  <si>
    <t>Mail 4 ID</t>
  </si>
  <si>
    <t>Mail 5 ID</t>
  </si>
  <si>
    <t>Mail 1 Name</t>
  </si>
  <si>
    <t>Mail 2 Name</t>
  </si>
  <si>
    <t>Mail 3 Name</t>
  </si>
  <si>
    <t>Mail 4 Name</t>
  </si>
  <si>
    <t>Mail 5 Name</t>
  </si>
  <si>
    <t>Banking</t>
  </si>
  <si>
    <t>Finance</t>
  </si>
  <si>
    <t>Project Management</t>
  </si>
  <si>
    <t>Strategy Planning</t>
  </si>
  <si>
    <t>Client Visit</t>
  </si>
  <si>
    <t>Reports</t>
  </si>
  <si>
    <t>Billing</t>
  </si>
  <si>
    <t>Stock Management</t>
  </si>
  <si>
    <t>Strtegic Planning</t>
  </si>
  <si>
    <t>Process Re-Engineering</t>
  </si>
  <si>
    <t>Automations</t>
  </si>
  <si>
    <t>Presentations</t>
  </si>
  <si>
    <t>Interview</t>
  </si>
  <si>
    <t>Resource Management</t>
  </si>
  <si>
    <t>Talent Acquisition</t>
  </si>
  <si>
    <t>Payroll Management</t>
  </si>
  <si>
    <t>BusinessIntelligence</t>
  </si>
  <si>
    <t>HumanResources</t>
  </si>
  <si>
    <t>Development</t>
  </si>
  <si>
    <t>Testing</t>
  </si>
  <si>
    <t>Client Management</t>
  </si>
  <si>
    <t>Documentation</t>
  </si>
  <si>
    <t>Project C</t>
  </si>
  <si>
    <t>Project D</t>
  </si>
  <si>
    <t>Meeting</t>
  </si>
  <si>
    <t>Training</t>
  </si>
  <si>
    <t>Unproductive</t>
  </si>
  <si>
    <t>Project - Client</t>
  </si>
  <si>
    <t>No Task In Dropdown</t>
  </si>
  <si>
    <t>- To Proceed further ensure that your mail is configured in Outlook to send mails via this module
- Enter the date in the date column
- Select the Department, Project, Activity &amp; Task for which the log should be captured
- Click on "Start Time" when the activity starts
- Click on "End Time" when the activity ends
- Proceed this steps for capturing all logs for the day
- Once your log is captured for the day, Click on "Send Mail" to send the log via Mail
- If you face any challenges or issues, Click on "Help" to send the Error Report to BI Team</t>
  </si>
  <si>
    <t>User@xyz.com</t>
  </si>
  <si>
    <t>User</t>
  </si>
  <si>
    <t>MD</t>
  </si>
  <si>
    <t>MD@xyz.com</t>
  </si>
  <si>
    <t>A</t>
  </si>
  <si>
    <t>B</t>
  </si>
  <si>
    <t>C</t>
  </si>
  <si>
    <t>D</t>
  </si>
  <si>
    <t>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</si>
</sst>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:mm:ss;@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5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7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2" fillId="0" borderId="0" xfId="0" applyFont="1" applyProtection="1"/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Protection="1"/>
    <xf numFmtId="22" fontId="0" fillId="0" borderId="0" xfId="0" applyNumberFormat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vertical="center"/>
      <protection locked="0"/>
    </xf>
    <xf numFmtId="0" fontId="0" fillId="0" borderId="2" xfId="0" applyFont="1" applyBorder="1" applyAlignment="1" applyProtection="1">
      <alignment vertical="center"/>
      <protection locked="0"/>
    </xf>
    <xf numFmtId="0" fontId="0" fillId="0" borderId="3" xfId="0" applyFont="1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quotePrefix="1" applyFont="1" applyAlignment="1" applyProtection="1"/>
    <xf numFmtId="0" fontId="6" fillId="0" borderId="2" xfId="1" applyBorder="1" applyAlignment="1" applyProtection="1">
      <alignment vertical="center"/>
      <protection locked="0"/>
    </xf>
    <xf numFmtId="0" fontId="6" fillId="0" borderId="5" xfId="1" applyBorder="1" applyAlignment="1" applyProtection="1">
      <alignment vertical="center"/>
      <protection locked="0"/>
    </xf>
  </cellXfs>
  <cellStyles count="2">
    <cellStyle name="Hyperlink" xfId="1" builtinId="8"/>
    <cellStyle name="Normal" xfId="0" builtinId="0"/>
  </cellStyles>
  <dxfs count="11"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165" formatCode="m/d/yyyy"/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0</xdr:row>
          <xdr:rowOff>180975</xdr:rowOff>
        </xdr:from>
        <xdr:to>
          <xdr:col>6</xdr:col>
          <xdr:colOff>1009650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180975</xdr:rowOff>
        </xdr:from>
        <xdr:to>
          <xdr:col>7</xdr:col>
          <xdr:colOff>1019175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Time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60389</xdr:colOff>
      <xdr:row>0</xdr:row>
      <xdr:rowOff>45286</xdr:rowOff>
    </xdr:from>
    <xdr:to>
      <xdr:col>1</xdr:col>
      <xdr:colOff>282512</xdr:colOff>
      <xdr:row>2</xdr:row>
      <xdr:rowOff>136797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9" y="45286"/>
          <a:ext cx="1269873" cy="4725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180975</xdr:rowOff>
        </xdr:from>
        <xdr:to>
          <xdr:col>8</xdr:col>
          <xdr:colOff>1028700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Recipients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0</xdr:row>
          <xdr:rowOff>180975</xdr:rowOff>
        </xdr:from>
        <xdr:to>
          <xdr:col>12</xdr:col>
          <xdr:colOff>266700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180975</xdr:rowOff>
        </xdr:from>
        <xdr:to>
          <xdr:col>10</xdr:col>
          <xdr:colOff>428625</xdr:colOff>
          <xdr:row>2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180975</xdr:rowOff>
        </xdr:from>
        <xdr:to>
          <xdr:col>5</xdr:col>
          <xdr:colOff>1000125</xdr:colOff>
          <xdr:row>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611260</xdr:colOff>
      <xdr:row>0</xdr:row>
      <xdr:rowOff>0</xdr:rowOff>
    </xdr:from>
    <xdr:to>
      <xdr:col>4</xdr:col>
      <xdr:colOff>646047</xdr:colOff>
      <xdr:row>2</xdr:row>
      <xdr:rowOff>183193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9010" y="0"/>
          <a:ext cx="3216137" cy="564193"/>
        </a:xfrm>
        <a:prstGeom prst="rect">
          <a:avLst/>
        </a:prstGeom>
        <a:noFill/>
      </xdr:spPr>
      <xdr:txBody>
        <a:bodyPr wrap="none" lIns="91440" tIns="45720" rIns="91440" bIns="45720" anchor="ctr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200" b="1" cap="none" spc="0">
              <a:ln/>
              <a:solidFill>
                <a:schemeClr val="accent4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Production Log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1028700</xdr:colOff>
          <xdr:row>0</xdr:row>
          <xdr:rowOff>76200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Navigation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361950</xdr:colOff>
          <xdr:row>0</xdr:row>
          <xdr:rowOff>180975</xdr:rowOff>
        </xdr:from>
        <xdr:to>
          <xdr:col>14</xdr:col>
          <xdr:colOff>104775</xdr:colOff>
          <xdr:row>2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57150</xdr:rowOff>
        </xdr:from>
        <xdr:to>
          <xdr:col>0</xdr:col>
          <xdr:colOff>1028700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I5" totalsRowShown="0" headerRowDxfId="10" dataDxfId="9">
  <autoFilter ref="A4:I5" xr:uid="{00000000-0009-0000-0100-000001000000}"/>
  <tableColumns count="9">
    <tableColumn id="9" xr3:uid="{00000000-0010-0000-0000-000009000000}" name="User Name" dataDxfId="8"/>
    <tableColumn id="10" xr3:uid="{00000000-0010-0000-0000-00000A000000}" name="Supervisor" dataDxfId="7"/>
    <tableColumn id="1" xr3:uid="{00000000-0010-0000-0000-000001000000}" name="Date" dataDxfId="6"/>
    <tableColumn id="2" xr3:uid="{00000000-0010-0000-0000-000002000000}" name="Department" dataDxfId="5"/>
    <tableColumn id="3" xr3:uid="{00000000-0010-0000-0000-000003000000}" name="Project" dataDxfId="4"/>
    <tableColumn id="5" xr3:uid="{00000000-0010-0000-0000-000005000000}" name="Task" dataDxfId="3"/>
    <tableColumn id="6" xr3:uid="{00000000-0010-0000-0000-000006000000}" name="Start Time" dataDxfId="2"/>
    <tableColumn id="7" xr3:uid="{00000000-0010-0000-0000-000007000000}" name="End Time" dataDxfId="1"/>
    <tableColumn id="8" xr3:uid="{00000000-0010-0000-0000-000008000000}" name="Duration" dataDxfId="0">
      <calculatedColumnFormula>IFERROR(IF(Table1[Date]="","",H5-G5),0)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partment" displayName="Department" ref="A1:A7" totalsRowShown="0">
  <autoFilter ref="A1:A7" xr:uid="{00000000-0009-0000-0100-000002000000}"/>
  <tableColumns count="1">
    <tableColumn id="1" xr3:uid="{00000000-0010-0000-0100-000001000000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ject" displayName="Project" ref="C1:C5" totalsRowShown="0">
  <autoFilter ref="C1:C5" xr:uid="{00000000-0009-0000-0100-000003000000}"/>
  <tableColumns count="1">
    <tableColumn id="1" xr3:uid="{00000000-0010-0000-0200-000001000000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Management" displayName="Management" ref="G1:G10">
  <autoFilter ref="G1:G10" xr:uid="{00000000-0009-0000-0100-000006000000}"/>
  <tableColumns count="1">
    <tableColumn id="1" xr3:uid="{00000000-0010-0000-0300-000001000000}" name="Manage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Marketing" displayName="Marketing" ref="I1:I8" totalsRowShown="0">
  <autoFilter ref="I1:I8" xr:uid="{00000000-0009-0000-0100-000007000000}"/>
  <tableColumns count="1">
    <tableColumn id="1" xr3:uid="{00000000-0010-0000-0400-000001000000}" name="Market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DeliveryAndCollections" displayName="DeliveryAndCollections" ref="K1:K8" totalsRowShown="0">
  <autoFilter ref="K1:K8" xr:uid="{00000000-0009-0000-0100-000008000000}"/>
  <tableColumns count="1">
    <tableColumn id="1" xr3:uid="{00000000-0010-0000-0500-000001000000}" name="Delive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BusinessIntelligence" displayName="BusinessIntelligence" ref="M1:M11" totalsRowShown="0">
  <autoFilter ref="M1:M11" xr:uid="{00000000-0009-0000-0100-000009000000}"/>
  <tableColumns count="1">
    <tableColumn id="1" xr3:uid="{00000000-0010-0000-0600-000001000000}" name="BusinessIntellig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echnology" displayName="Technology" ref="O1:O9" totalsRowShown="0">
  <autoFilter ref="O1:O9" xr:uid="{00000000-0009-0000-0100-00000A000000}"/>
  <tableColumns count="1">
    <tableColumn id="1" xr3:uid="{00000000-0010-0000-0700-000001000000}" name="Technolog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HumanResources" displayName="HumanResources" ref="Q1:Q8" totalsRowShown="0">
  <autoFilter ref="Q1:Q8" xr:uid="{00000000-0009-0000-0100-00000B000000}"/>
  <tableColumns count="1">
    <tableColumn id="1" xr3:uid="{00000000-0010-0000-0800-000001000000}" name="HumanResour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MD@xyz.com" TargetMode="External"/><Relationship Id="rId1" Type="http://schemas.openxmlformats.org/officeDocument/2006/relationships/hyperlink" Target="mailto:User@xyz.com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showGridLines="0" showRowColHeaders="0" tabSelected="1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5.7109375" style="2" customWidth="1"/>
    <col min="2" max="2" width="16.28515625" style="2" bestFit="1" customWidth="1"/>
    <col min="3" max="9" width="15.7109375" style="2" customWidth="1"/>
    <col min="10" max="16384" width="9.140625" style="2"/>
  </cols>
  <sheetData>
    <row r="1" spans="1:12" s="3" customFormat="1" x14ac:dyDescent="0.25">
      <c r="A1" s="7" t="str">
        <f>"Production Log - "&amp;Table1[User Name]&amp;" Dated "&amp;TEXT(MAX(Table1[[#All],[Date]]),"mm/dd/yyyy")</f>
        <v>Production Log - User Dated 06/15/2016</v>
      </c>
      <c r="B1" s="7" t="str">
        <f>'Mail Recipients'!B4</f>
        <v>Hi User,</v>
      </c>
      <c r="C1" s="7" t="str">
        <f>UserName()</f>
        <v>Shyam Sundar Shankar</v>
      </c>
    </row>
    <row r="2" spans="1:12" s="3" customFormat="1" x14ac:dyDescent="0.25">
      <c r="A2" s="7" t="str">
        <f>'Mail Recipients'!C4</f>
        <v>User@xyz.com;</v>
      </c>
      <c r="B2" s="7" t="s">
        <v>58</v>
      </c>
    </row>
    <row r="3" spans="1:12" s="3" customFormat="1" x14ac:dyDescent="0.25">
      <c r="A3" s="7" t="str">
        <f>'Mail Recipients'!C5</f>
        <v>MD@xyz.com;</v>
      </c>
      <c r="B3" s="19" t="s">
        <v>59</v>
      </c>
    </row>
    <row r="4" spans="1:12" s="3" customFormat="1" x14ac:dyDescent="0.25">
      <c r="A4" s="18" t="s">
        <v>13</v>
      </c>
      <c r="B4" s="18" t="s">
        <v>14</v>
      </c>
      <c r="C4" s="18" t="s">
        <v>0</v>
      </c>
      <c r="D4" s="18" t="s">
        <v>3</v>
      </c>
      <c r="E4" s="18" t="s">
        <v>2</v>
      </c>
      <c r="F4" s="18" t="s">
        <v>1</v>
      </c>
      <c r="G4" s="18" t="s">
        <v>4</v>
      </c>
      <c r="H4" s="18" t="s">
        <v>5</v>
      </c>
      <c r="I4" s="18" t="s">
        <v>6</v>
      </c>
      <c r="L4" s="4" t="str">
        <f>"Welcome! "&amp;(UserName())</f>
        <v>Welcome! Shyam Sundar Shankar</v>
      </c>
    </row>
    <row r="5" spans="1:12" x14ac:dyDescent="0.25">
      <c r="A5" s="8" t="s">
        <v>61</v>
      </c>
      <c r="B5" s="6" t="s">
        <v>14</v>
      </c>
      <c r="C5" s="5">
        <v>42536.120285069446</v>
      </c>
      <c r="D5" s="6" t="s">
        <v>7</v>
      </c>
      <c r="E5" s="6" t="s">
        <v>53</v>
      </c>
      <c r="F5" s="6" t="s">
        <v>50</v>
      </c>
      <c r="G5" s="1">
        <v>42536.10976284722</v>
      </c>
      <c r="H5" s="1">
        <v>42536.120494328701</v>
      </c>
      <c r="I5" s="1">
        <f>IFERROR(IF(Table1[Date]="","",H5-G5),0)</f>
        <v>1.0731481481343508E-2</v>
      </c>
    </row>
  </sheetData>
  <sheetProtection algorithmName="SHA-512" hashValue="t/vqMTc9uri2EkYsh4vUe8sIogJo74a5JS9U5/glzu0Skev7/ftlsXjz9hpmiTpad+C6LtBN2AmV8Ko106jlUQ==" saltValue="LS77ul3IzW/bcj0uWpLNug==" spinCount="100000" sheet="1" objects="1" scenarios="1" selectLockedCells="1"/>
  <dataValidations disablePrompts="1" count="4">
    <dataValidation type="date" allowBlank="1" showInputMessage="1" showErrorMessage="1" sqref="C5" xr:uid="{00000000-0002-0000-0000-000000000000}">
      <formula1>42370</formula1>
      <formula2>42735</formula2>
    </dataValidation>
    <dataValidation type="list" allowBlank="1" showInputMessage="1" showErrorMessage="1" sqref="D5" xr:uid="{00000000-0002-0000-0000-000001000000}">
      <formula1>INDIRECT($D$4)</formula1>
    </dataValidation>
    <dataValidation type="list" allowBlank="1" showInputMessage="1" showErrorMessage="1" sqref="E5" xr:uid="{00000000-0002-0000-0000-000002000000}">
      <formula1>INDIRECT($E$4)</formula1>
    </dataValidation>
    <dataValidation type="list" allowBlank="1" showInputMessage="1" showErrorMessage="1" sqref="F5" xr:uid="{00000000-0002-0000-0000-000003000000}">
      <formula1>INDIRECT(D5)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Time">
                <anchor>
                  <from>
                    <xdr:col>6</xdr:col>
                    <xdr:colOff>47625</xdr:colOff>
                    <xdr:row>0</xdr:row>
                    <xdr:rowOff>180975</xdr:rowOff>
                  </from>
                  <to>
                    <xdr:col>6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Time">
                <anchor>
                  <from>
                    <xdr:col>7</xdr:col>
                    <xdr:colOff>57150</xdr:colOff>
                    <xdr:row>0</xdr:row>
                    <xdr:rowOff>180975</xdr:rowOff>
                  </from>
                  <to>
                    <xdr:col>7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cipientSheet">
                <anchor>
                  <from>
                    <xdr:col>8</xdr:col>
                    <xdr:colOff>66675</xdr:colOff>
                    <xdr:row>0</xdr:row>
                    <xdr:rowOff>180975</xdr:rowOff>
                  </from>
                  <to>
                    <xdr:col>8</xdr:col>
                    <xdr:colOff>1028700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Help">
                <anchor>
                  <from>
                    <xdr:col>10</xdr:col>
                    <xdr:colOff>523875</xdr:colOff>
                    <xdr:row>0</xdr:row>
                    <xdr:rowOff>180975</xdr:rowOff>
                  </from>
                  <to>
                    <xdr:col>12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ail">
                <anchor>
                  <from>
                    <xdr:col>9</xdr:col>
                    <xdr:colOff>76200</xdr:colOff>
                    <xdr:row>0</xdr:row>
                    <xdr:rowOff>180975</xdr:rowOff>
                  </from>
                  <to>
                    <xdr:col>10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odule1.Instructions">
                <anchor>
                  <from>
                    <xdr:col>5</xdr:col>
                    <xdr:colOff>47625</xdr:colOff>
                    <xdr:row>0</xdr:row>
                    <xdr:rowOff>180975</xdr:rowOff>
                  </from>
                  <to>
                    <xdr:col>5</xdr:col>
                    <xdr:colOff>1000125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Group Box 9">
              <controlPr defaultSize="0" autoFill="0" autoPict="0">
                <anchor>
                  <from>
                    <xdr:col>4</xdr:col>
                    <xdr:colOff>1028700</xdr:colOff>
                    <xdr:row>0</xdr:row>
                    <xdr:rowOff>76200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OnExit">
                <anchor>
                  <from>
                    <xdr:col>12</xdr:col>
                    <xdr:colOff>361950</xdr:colOff>
                    <xdr:row>0</xdr:row>
                    <xdr:rowOff>180975</xdr:rowOff>
                  </from>
                  <to>
                    <xdr:col>14</xdr:col>
                    <xdr:colOff>104775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5"/>
  <sheetViews>
    <sheetView showGridLines="0" showRowColHeaders="0" workbookViewId="0"/>
  </sheetViews>
  <sheetFormatPr defaultRowHeight="15" x14ac:dyDescent="0.25"/>
  <cols>
    <col min="1" max="2" width="15.7109375" style="2" customWidth="1"/>
    <col min="3" max="3" width="38.140625" style="2" customWidth="1"/>
    <col min="4" max="13" width="15.7109375" style="2" customWidth="1"/>
  </cols>
  <sheetData>
    <row r="1" spans="1:13" x14ac:dyDescent="0.25">
      <c r="A1"/>
      <c r="B1"/>
      <c r="C1"/>
      <c r="D1"/>
      <c r="E1"/>
      <c r="F1"/>
      <c r="G1"/>
      <c r="H1"/>
      <c r="I1"/>
      <c r="J1"/>
      <c r="K1"/>
      <c r="L1"/>
      <c r="M1"/>
    </row>
    <row r="2" spans="1:1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5">
      <c r="A3" s="9" t="s">
        <v>15</v>
      </c>
      <c r="B3" s="10" t="s">
        <v>18</v>
      </c>
      <c r="C3" s="10" t="s">
        <v>19</v>
      </c>
      <c r="D3" s="10" t="s">
        <v>20</v>
      </c>
      <c r="E3" s="10" t="s">
        <v>25</v>
      </c>
      <c r="F3" s="10" t="s">
        <v>21</v>
      </c>
      <c r="G3" s="10" t="s">
        <v>26</v>
      </c>
      <c r="H3" s="10" t="s">
        <v>22</v>
      </c>
      <c r="I3" s="10" t="s">
        <v>27</v>
      </c>
      <c r="J3" s="10" t="s">
        <v>23</v>
      </c>
      <c r="K3" s="10" t="s">
        <v>28</v>
      </c>
      <c r="L3" s="10" t="s">
        <v>24</v>
      </c>
      <c r="M3" s="11" t="s">
        <v>29</v>
      </c>
    </row>
    <row r="4" spans="1:13" x14ac:dyDescent="0.25">
      <c r="A4" s="12" t="s">
        <v>16</v>
      </c>
      <c r="B4" s="13" t="str">
        <f>IF(COUNTIF(C4,";")&gt;1,"Hi All,","Hi "&amp;E4&amp;",")</f>
        <v>Hi User,</v>
      </c>
      <c r="C4" s="16" t="str">
        <f>IF(IF(D4&lt;&gt;"",D4&amp;";",IF(F4&lt;&gt;"",F4&amp;";",IF(H4&lt;&gt;"",H4&amp;";",IF(J4&lt;&gt;"",J4&amp;";",L4&amp;";"))))=";","",(IF(D4&lt;&gt;"",D4&amp;";",IF(F4&lt;&gt;"",F4&amp;";",IF(H4&lt;&gt;"",H4&amp;";",IF(J4&lt;&gt;"",J4&amp;";",L4&amp;";"))))))</f>
        <v>User@xyz.com;</v>
      </c>
      <c r="D4" s="20" t="s">
        <v>60</v>
      </c>
      <c r="E4" s="13" t="s">
        <v>61</v>
      </c>
      <c r="F4" s="13"/>
      <c r="G4" s="13"/>
      <c r="H4" s="13"/>
      <c r="I4" s="13"/>
      <c r="J4" s="13"/>
      <c r="K4" s="13"/>
      <c r="L4" s="13"/>
      <c r="M4" s="14"/>
    </row>
    <row r="5" spans="1:13" x14ac:dyDescent="0.25">
      <c r="A5" s="15" t="s">
        <v>17</v>
      </c>
      <c r="B5" s="16" t="str">
        <f>IF(COUNTIF(C5,";")&gt;1,"Hi All,","Hi "&amp;E5&amp;",")</f>
        <v>Hi MD,</v>
      </c>
      <c r="C5" s="16" t="str">
        <f>IF(IF(D5&lt;&gt;"",D5&amp;";",IF(F5&lt;&gt;"",F5&amp;";",IF(H5&lt;&gt;"",H5&amp;";",IF(J5&lt;&gt;"",J5&amp;";",L5&amp;";"))))=";","",(IF(D5&lt;&gt;"",D5&amp;";",IF(F5&lt;&gt;"",F5&amp;";",IF(H5&lt;&gt;"",H5&amp;";",IF(J5&lt;&gt;"",J5&amp;";",L5&amp;";"))))))</f>
        <v>MD@xyz.com;</v>
      </c>
      <c r="D5" s="21" t="s">
        <v>63</v>
      </c>
      <c r="E5" s="16" t="s">
        <v>62</v>
      </c>
      <c r="F5" s="16"/>
      <c r="G5" s="16"/>
      <c r="H5" s="16"/>
      <c r="I5" s="16"/>
      <c r="J5" s="16"/>
      <c r="K5" s="16"/>
      <c r="L5" s="16"/>
      <c r="M5" s="17"/>
    </row>
  </sheetData>
  <sheetProtection selectLockedCells="1"/>
  <hyperlinks>
    <hyperlink ref="D4" r:id="rId1" xr:uid="{00000000-0004-0000-0100-000000000000}"/>
    <hyperlink ref="D5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ataSheet">
                <anchor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0</xdr:col>
                    <xdr:colOff>1028700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11"/>
  <sheetViews>
    <sheetView workbookViewId="0"/>
  </sheetViews>
  <sheetFormatPr defaultRowHeight="15" x14ac:dyDescent="0.25"/>
  <cols>
    <col min="1" max="1" width="22.28515625" customWidth="1"/>
    <col min="2" max="2" width="0.85546875" customWidth="1"/>
    <col min="3" max="3" width="9.5703125" bestFit="1" customWidth="1"/>
    <col min="4" max="4" width="30.5703125" bestFit="1" customWidth="1"/>
    <col min="5" max="5" width="30.5703125" customWidth="1"/>
    <col min="6" max="6" width="0.85546875" customWidth="1"/>
    <col min="7" max="7" width="19.7109375" bestFit="1" customWidth="1"/>
    <col min="8" max="8" width="0.85546875" customWidth="1"/>
    <col min="9" max="9" width="18.7109375" bestFit="1" customWidth="1"/>
    <col min="10" max="10" width="0.85546875" customWidth="1"/>
    <col min="11" max="11" width="24" customWidth="1"/>
    <col min="12" max="12" width="0.85546875" customWidth="1"/>
    <col min="13" max="13" width="22.140625" bestFit="1" customWidth="1"/>
    <col min="14" max="14" width="0.85546875" customWidth="1"/>
    <col min="15" max="15" width="18.7109375" bestFit="1" customWidth="1"/>
    <col min="16" max="16" width="0.85546875" customWidth="1"/>
    <col min="17" max="17" width="21.7109375" bestFit="1" customWidth="1"/>
    <col min="19" max="19" width="40.28515625" bestFit="1" customWidth="1"/>
  </cols>
  <sheetData>
    <row r="1" spans="1:17" x14ac:dyDescent="0.25">
      <c r="A1" t="s">
        <v>3</v>
      </c>
      <c r="C1" t="s">
        <v>2</v>
      </c>
      <c r="D1" t="s">
        <v>10</v>
      </c>
      <c r="E1" t="s">
        <v>57</v>
      </c>
      <c r="G1" t="s">
        <v>7</v>
      </c>
      <c r="I1" t="s">
        <v>9</v>
      </c>
      <c r="K1" t="s">
        <v>68</v>
      </c>
      <c r="M1" t="s">
        <v>46</v>
      </c>
      <c r="O1" t="s">
        <v>8</v>
      </c>
      <c r="Q1" t="s">
        <v>47</v>
      </c>
    </row>
    <row r="2" spans="1:17" x14ac:dyDescent="0.25">
      <c r="A2" t="s">
        <v>7</v>
      </c>
      <c r="C2" t="s">
        <v>11</v>
      </c>
      <c r="D2" t="s">
        <v>64</v>
      </c>
      <c r="E2" t="str">
        <f>Project[[#This Row],[Project]]&amp;" - "&amp;D2</f>
        <v>Project A - A</v>
      </c>
      <c r="G2" t="s">
        <v>50</v>
      </c>
      <c r="I2" t="s">
        <v>50</v>
      </c>
      <c r="K2" t="s">
        <v>36</v>
      </c>
      <c r="M2" t="s">
        <v>38</v>
      </c>
      <c r="O2" t="s">
        <v>48</v>
      </c>
      <c r="Q2" t="s">
        <v>44</v>
      </c>
    </row>
    <row r="3" spans="1:17" x14ac:dyDescent="0.25">
      <c r="A3" t="s">
        <v>9</v>
      </c>
      <c r="C3" t="s">
        <v>12</v>
      </c>
      <c r="D3" t="s">
        <v>65</v>
      </c>
      <c r="E3" t="str">
        <f>Project[[#This Row],[Project]]&amp;" - "&amp;D3</f>
        <v>Project B - B</v>
      </c>
      <c r="G3" t="s">
        <v>32</v>
      </c>
      <c r="I3" t="s">
        <v>34</v>
      </c>
      <c r="K3" t="s">
        <v>37</v>
      </c>
      <c r="M3" t="s">
        <v>39</v>
      </c>
      <c r="O3" t="s">
        <v>49</v>
      </c>
      <c r="Q3" t="s">
        <v>42</v>
      </c>
    </row>
    <row r="4" spans="1:17" x14ac:dyDescent="0.25">
      <c r="A4" t="s">
        <v>68</v>
      </c>
      <c r="C4" t="s">
        <v>52</v>
      </c>
      <c r="D4" t="s">
        <v>66</v>
      </c>
      <c r="E4" t="str">
        <f>Project[[#This Row],[Project]]&amp;" - "&amp;D4</f>
        <v>Project C - C</v>
      </c>
      <c r="G4" t="s">
        <v>33</v>
      </c>
      <c r="I4" t="s">
        <v>35</v>
      </c>
      <c r="K4" t="s">
        <v>35</v>
      </c>
      <c r="M4" t="s">
        <v>40</v>
      </c>
      <c r="O4" t="s">
        <v>50</v>
      </c>
      <c r="Q4" t="s">
        <v>43</v>
      </c>
    </row>
    <row r="5" spans="1:17" x14ac:dyDescent="0.25">
      <c r="A5" t="s">
        <v>46</v>
      </c>
      <c r="C5" t="s">
        <v>53</v>
      </c>
      <c r="D5" t="s">
        <v>67</v>
      </c>
      <c r="E5" t="str">
        <f>Project[[#This Row],[Project]]&amp;" - "&amp;D5</f>
        <v>Project D - D</v>
      </c>
      <c r="G5" t="s">
        <v>30</v>
      </c>
      <c r="I5" t="s">
        <v>42</v>
      </c>
      <c r="K5" t="s">
        <v>42</v>
      </c>
      <c r="M5" t="s">
        <v>41</v>
      </c>
      <c r="O5" t="s">
        <v>51</v>
      </c>
      <c r="Q5" t="s">
        <v>45</v>
      </c>
    </row>
    <row r="6" spans="1:17" x14ac:dyDescent="0.25">
      <c r="A6" t="s">
        <v>47</v>
      </c>
      <c r="G6" t="s">
        <v>31</v>
      </c>
      <c r="I6" t="s">
        <v>54</v>
      </c>
      <c r="K6" t="s">
        <v>54</v>
      </c>
      <c r="M6" t="s">
        <v>35</v>
      </c>
      <c r="O6" t="s">
        <v>42</v>
      </c>
      <c r="Q6" t="s">
        <v>54</v>
      </c>
    </row>
    <row r="7" spans="1:17" x14ac:dyDescent="0.25">
      <c r="A7" t="s">
        <v>8</v>
      </c>
      <c r="G7" t="s">
        <v>42</v>
      </c>
      <c r="I7" t="s">
        <v>55</v>
      </c>
      <c r="K7" t="s">
        <v>55</v>
      </c>
      <c r="M7" t="s">
        <v>51</v>
      </c>
      <c r="O7" t="s">
        <v>54</v>
      </c>
      <c r="Q7" t="s">
        <v>55</v>
      </c>
    </row>
    <row r="8" spans="1:17" x14ac:dyDescent="0.25">
      <c r="G8" t="s">
        <v>54</v>
      </c>
      <c r="I8" t="s">
        <v>56</v>
      </c>
      <c r="K8" t="s">
        <v>56</v>
      </c>
      <c r="M8" t="s">
        <v>42</v>
      </c>
      <c r="O8" t="s">
        <v>55</v>
      </c>
      <c r="Q8" t="s">
        <v>56</v>
      </c>
    </row>
    <row r="9" spans="1:17" x14ac:dyDescent="0.25">
      <c r="G9" t="s">
        <v>55</v>
      </c>
      <c r="M9" t="s">
        <v>54</v>
      </c>
      <c r="O9" t="s">
        <v>56</v>
      </c>
    </row>
    <row r="10" spans="1:17" x14ac:dyDescent="0.25">
      <c r="G10" t="s">
        <v>56</v>
      </c>
      <c r="M10" t="s">
        <v>55</v>
      </c>
    </row>
    <row r="11" spans="1:17" x14ac:dyDescent="0.25">
      <c r="M11" t="s">
        <v>56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Mail Recipients</vt:lpstr>
      <vt:lpstr>Controls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2016-06-11T18:09:55Z</dcterms:created>
  <dcterms:modified xsi:type="dcterms:W3CDTF">2018-10-06T21:50:15Z</dcterms:modified>
</cp:coreProperties>
</file>