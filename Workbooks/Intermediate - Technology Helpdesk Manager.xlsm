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E:\Co-Worked\"/>
    </mc:Choice>
  </mc:AlternateContent>
  <xr:revisionPtr revIDLastSave="0" documentId="10_ncr:100000_{0D035C1B-260D-479F-A985-3D2234EE5364}" xr6:coauthVersionLast="31" xr6:coauthVersionMax="31" xr10:uidLastSave="{00000000-0000-0000-0000-000000000000}"/>
  <bookViews>
    <workbookView xWindow="0" yWindow="0" windowWidth="20490" windowHeight="7755" firstSheet="1" activeTab="2" xr2:uid="{00000000-000D-0000-FFFF-FFFF00000000}"/>
  </bookViews>
  <sheets>
    <sheet name="Controls" sheetId="4" state="veryHidden" r:id="rId1"/>
    <sheet name="Setup" sheetId="1" r:id="rId2"/>
    <sheet name="Interface" sheetId="2" r:id="rId3"/>
    <sheet name="Data" sheetId="3" state="hidden" r:id="rId4"/>
  </sheets>
  <definedNames>
    <definedName name="_xlnm._FilterDatabase" localSheetId="1" hidden="1">Setup!$A$1:$C$17</definedName>
    <definedName name="Loc">IF(Interface!A1048568="",INDIRECT(Interface!XFD1048570),IFERROR(VLOOKUP(Interface!A1048568,#REF!,3,0),""))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" i="2" l="1"/>
  <c r="M19" i="2"/>
  <c r="M15" i="2"/>
  <c r="J19" i="2"/>
  <c r="J17" i="2"/>
  <c r="J15" i="2"/>
  <c r="G19" i="2"/>
  <c r="G17" i="2"/>
  <c r="G15" i="2"/>
  <c r="M17" i="2" s="1"/>
  <c r="D19" i="2"/>
  <c r="D17" i="2"/>
  <c r="D6" i="2"/>
  <c r="X1" i="1"/>
  <c r="C102" i="4"/>
  <c r="C101" i="4" s="1"/>
  <c r="C100" i="4" s="1"/>
  <c r="C99" i="4" s="1"/>
  <c r="C98" i="4" s="1"/>
  <c r="C97" i="4" s="1"/>
  <c r="C96" i="4" s="1"/>
  <c r="C95" i="4" s="1"/>
  <c r="C94" i="4" s="1"/>
  <c r="C93" i="4" s="1"/>
  <c r="C92" i="4" s="1"/>
  <c r="C91" i="4" s="1"/>
  <c r="C90" i="4" s="1"/>
  <c r="C89" i="4" s="1"/>
  <c r="C88" i="4" s="1"/>
  <c r="C87" i="4" s="1"/>
  <c r="C86" i="4" s="1"/>
  <c r="C85" i="4" s="1"/>
  <c r="C84" i="4" s="1"/>
  <c r="C83" i="4" s="1"/>
  <c r="C82" i="4" s="1"/>
  <c r="C81" i="4" s="1"/>
  <c r="C80" i="4" s="1"/>
  <c r="C79" i="4" s="1"/>
  <c r="C78" i="4" s="1"/>
  <c r="C77" i="4" s="1"/>
  <c r="C76" i="4" s="1"/>
  <c r="C75" i="4" s="1"/>
  <c r="C74" i="4" s="1"/>
  <c r="C73" i="4" s="1"/>
  <c r="C72" i="4" s="1"/>
  <c r="C71" i="4" s="1"/>
  <c r="C70" i="4" s="1"/>
  <c r="C69" i="4" s="1"/>
  <c r="C68" i="4" s="1"/>
  <c r="C67" i="4" s="1"/>
  <c r="C66" i="4" s="1"/>
  <c r="C65" i="4" s="1"/>
  <c r="C64" i="4" s="1"/>
  <c r="C63" i="4" s="1"/>
  <c r="C62" i="4" s="1"/>
  <c r="C61" i="4" s="1"/>
  <c r="C60" i="4" s="1"/>
  <c r="C59" i="4" s="1"/>
  <c r="C58" i="4" s="1"/>
  <c r="C57" i="4" s="1"/>
  <c r="C56" i="4" s="1"/>
  <c r="C55" i="4" s="1"/>
  <c r="C54" i="4" s="1"/>
  <c r="C53" i="4" s="1"/>
  <c r="C52" i="4" s="1"/>
  <c r="C51" i="4" s="1"/>
  <c r="C50" i="4" s="1"/>
  <c r="C49" i="4" s="1"/>
  <c r="C48" i="4" s="1"/>
  <c r="C47" i="4" s="1"/>
  <c r="C46" i="4" s="1"/>
  <c r="C45" i="4" s="1"/>
  <c r="C44" i="4" s="1"/>
  <c r="C43" i="4" s="1"/>
  <c r="C42" i="4" s="1"/>
  <c r="C41" i="4" s="1"/>
  <c r="C40" i="4" s="1"/>
  <c r="C39" i="4" s="1"/>
  <c r="C38" i="4" s="1"/>
  <c r="C37" i="4" s="1"/>
  <c r="C36" i="4" s="1"/>
  <c r="C35" i="4" s="1"/>
  <c r="C34" i="4" s="1"/>
  <c r="C33" i="4" s="1"/>
  <c r="C32" i="4" s="1"/>
  <c r="C31" i="4" s="1"/>
  <c r="C30" i="4" s="1"/>
  <c r="C29" i="4" s="1"/>
  <c r="C28" i="4" s="1"/>
  <c r="C27" i="4" s="1"/>
  <c r="C26" i="4" s="1"/>
  <c r="C25" i="4" s="1"/>
  <c r="C24" i="4" s="1"/>
  <c r="C23" i="4" s="1"/>
  <c r="C22" i="4" s="1"/>
  <c r="C21" i="4" s="1"/>
  <c r="C20" i="4" s="1"/>
  <c r="C19" i="4" s="1"/>
  <c r="C18" i="4" s="1"/>
  <c r="C17" i="4" s="1"/>
  <c r="C16" i="4" s="1"/>
  <c r="C15" i="4" s="1"/>
  <c r="C14" i="4" s="1"/>
  <c r="C13" i="4" s="1"/>
  <c r="C12" i="4" s="1"/>
  <c r="C11" i="4" s="1"/>
  <c r="C10" i="4" s="1"/>
  <c r="C9" i="4" s="1"/>
  <c r="C8" i="4" s="1"/>
  <c r="C7" i="4" s="1"/>
  <c r="C6" i="4" s="1"/>
  <c r="C5" i="4" s="1"/>
  <c r="C4" i="4" s="1"/>
  <c r="C3" i="4" s="1"/>
  <c r="A5" i="3"/>
  <c r="P5" i="3"/>
  <c r="A4" i="3"/>
  <c r="P4" i="3"/>
  <c r="A3" i="3"/>
  <c r="P3" i="3"/>
  <c r="A25" i="2" l="1"/>
  <c r="P2" i="3" l="1"/>
  <c r="A26" i="2"/>
  <c r="A27" i="2" s="1"/>
  <c r="A28" i="2" s="1"/>
  <c r="A29" i="2" s="1"/>
  <c r="A30" i="2" s="1"/>
  <c r="A31" i="2" s="1"/>
  <c r="A32" i="2" s="1"/>
  <c r="A33" i="2" s="1"/>
  <c r="A34" i="2" s="1"/>
  <c r="A35" i="2" s="1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M8" i="2" l="1"/>
  <c r="N21" i="2"/>
  <c r="O21" i="2"/>
  <c r="L21" i="2"/>
  <c r="K21" i="2"/>
  <c r="J21" i="2"/>
  <c r="I21" i="2"/>
  <c r="G21" i="2"/>
  <c r="F21" i="2"/>
  <c r="E21" i="2"/>
  <c r="D21" i="2"/>
  <c r="C20" i="2"/>
  <c r="M21" i="2"/>
  <c r="H21" i="2"/>
  <c r="C21" i="2"/>
  <c r="A2" i="3"/>
  <c r="B35" i="2" l="1"/>
  <c r="C35" i="2" s="1"/>
  <c r="D35" i="2" s="1"/>
  <c r="B34" i="2"/>
  <c r="C34" i="2" s="1"/>
  <c r="D34" i="2" s="1"/>
  <c r="B27" i="2"/>
  <c r="C27" i="2" s="1"/>
  <c r="D27" i="2" s="1"/>
  <c r="B25" i="2"/>
  <c r="B32" i="2"/>
  <c r="C32" i="2" s="1"/>
  <c r="D32" i="2" s="1"/>
  <c r="B26" i="2"/>
  <c r="C26" i="2" s="1"/>
  <c r="D26" i="2" s="1"/>
  <c r="B29" i="2"/>
  <c r="C29" i="2" s="1"/>
  <c r="D29" i="2" s="1"/>
  <c r="B31" i="2"/>
  <c r="C31" i="2" s="1"/>
  <c r="D31" i="2" s="1"/>
  <c r="B33" i="2"/>
  <c r="C33" i="2" s="1"/>
  <c r="D33" i="2" s="1"/>
  <c r="B30" i="2"/>
  <c r="C30" i="2" s="1"/>
  <c r="D30" i="2" s="1"/>
  <c r="B28" i="2"/>
  <c r="C28" i="2" s="1"/>
  <c r="D28" i="2" s="1"/>
  <c r="P21" i="2"/>
  <c r="N12" i="2"/>
  <c r="M6" i="2"/>
  <c r="L12" i="2" s="1"/>
  <c r="C11" i="2"/>
  <c r="D12" i="2"/>
  <c r="O12" i="2"/>
  <c r="K12" i="2"/>
  <c r="J12" i="2"/>
  <c r="I12" i="2"/>
  <c r="H12" i="2"/>
  <c r="G12" i="2"/>
  <c r="F12" i="2"/>
  <c r="E12" i="2"/>
  <c r="C25" i="2" l="1"/>
  <c r="D25" i="2" s="1"/>
  <c r="P12" i="2"/>
  <c r="C12" i="2" l="1"/>
</calcChain>
</file>

<file path=xl/sharedStrings.xml><?xml version="1.0" encoding="utf-8"?>
<sst xmlns="http://schemas.openxmlformats.org/spreadsheetml/2006/main" count="171" uniqueCount="78">
  <si>
    <t>Issue</t>
  </si>
  <si>
    <t>Category</t>
  </si>
  <si>
    <t>Sub Category</t>
  </si>
  <si>
    <t>Headset</t>
  </si>
  <si>
    <t>Keyboard</t>
  </si>
  <si>
    <t>Mouse</t>
  </si>
  <si>
    <t>Request</t>
  </si>
  <si>
    <t>Process</t>
  </si>
  <si>
    <t>Location</t>
  </si>
  <si>
    <t>User Name</t>
  </si>
  <si>
    <t>Assigned Time</t>
  </si>
  <si>
    <t>Engineer</t>
  </si>
  <si>
    <t>SubCategory</t>
  </si>
  <si>
    <t>Status</t>
  </si>
  <si>
    <t>1</t>
  </si>
  <si>
    <t>A</t>
  </si>
  <si>
    <t>B</t>
  </si>
  <si>
    <t>C</t>
  </si>
  <si>
    <t>D</t>
  </si>
  <si>
    <t>E</t>
  </si>
  <si>
    <t>AA</t>
  </si>
  <si>
    <t>BB</t>
  </si>
  <si>
    <t>CC</t>
  </si>
  <si>
    <t>DD</t>
  </si>
  <si>
    <t>EE</t>
  </si>
  <si>
    <t>Department</t>
  </si>
  <si>
    <t>Closure Time</t>
  </si>
  <si>
    <t>Alan</t>
  </si>
  <si>
    <t>Bernard</t>
  </si>
  <si>
    <t>Cathy</t>
  </si>
  <si>
    <t>David</t>
  </si>
  <si>
    <t>Eric</t>
  </si>
  <si>
    <t>Notes</t>
  </si>
  <si>
    <t>Alpha</t>
  </si>
  <si>
    <t>Beta</t>
  </si>
  <si>
    <t>Gamma</t>
  </si>
  <si>
    <t>Delta</t>
  </si>
  <si>
    <t>Epsilon</t>
  </si>
  <si>
    <t>Finance</t>
  </si>
  <si>
    <t>Administration</t>
  </si>
  <si>
    <t>Field</t>
  </si>
  <si>
    <t>Operations</t>
  </si>
  <si>
    <t>Management</t>
  </si>
  <si>
    <t>India</t>
  </si>
  <si>
    <t>Singapore</t>
  </si>
  <si>
    <t>Malaysia</t>
  </si>
  <si>
    <t>Sydney</t>
  </si>
  <si>
    <t>Ohio</t>
  </si>
  <si>
    <t>Workstation</t>
  </si>
  <si>
    <t>Shyam</t>
  </si>
  <si>
    <t>Ticket #</t>
  </si>
  <si>
    <t>TAT Allowed</t>
  </si>
  <si>
    <t>TAT Status</t>
  </si>
  <si>
    <t>Frequently Restarting</t>
  </si>
  <si>
    <t>Historic Issues</t>
  </si>
  <si>
    <t>Mail ID</t>
  </si>
  <si>
    <t>itsupport@comnet.org.in</t>
  </si>
  <si>
    <t>Components</t>
  </si>
  <si>
    <t>Pendrive</t>
  </si>
  <si>
    <t>Closed</t>
  </si>
  <si>
    <t>Date</t>
  </si>
  <si>
    <t>No</t>
  </si>
  <si>
    <t>Hold</t>
  </si>
  <si>
    <t>Modify</t>
  </si>
  <si>
    <t>Create</t>
  </si>
  <si>
    <t>SG0056</t>
  </si>
  <si>
    <t>Sundar</t>
  </si>
  <si>
    <t>Test Issue for Event Handling</t>
  </si>
  <si>
    <t>Top 10 Pending Tickets</t>
  </si>
  <si>
    <t>ML0089</t>
  </si>
  <si>
    <t>Purchase request raised and hence kept on Hold.</t>
  </si>
  <si>
    <t>AY0789</t>
  </si>
  <si>
    <t>Henry</t>
  </si>
  <si>
    <t>Status Mail</t>
  </si>
  <si>
    <t>shyam.dragon89@gmail.com</t>
  </si>
  <si>
    <t>Overall</t>
  </si>
  <si>
    <t>Open</t>
  </si>
  <si>
    <t>Issue Resolved and User Acknowledged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</si>
</sst>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\ hh:mm"/>
    <numFmt numFmtId="165" formatCode="mm/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 vertical="center"/>
    </xf>
    <xf numFmtId="0" fontId="5" fillId="0" borderId="0" xfId="0" applyNumberFormat="1" applyFont="1" applyBorder="1"/>
    <xf numFmtId="0" fontId="4" fillId="0" borderId="0" xfId="0" applyFont="1" applyBorder="1"/>
    <xf numFmtId="0" fontId="5" fillId="0" borderId="0" xfId="0" applyFont="1" applyBorder="1"/>
    <xf numFmtId="46" fontId="0" fillId="0" borderId="0" xfId="0" applyNumberFormat="1"/>
    <xf numFmtId="22" fontId="4" fillId="0" borderId="0" xfId="0" applyNumberFormat="1" applyFont="1" applyBorder="1" applyProtection="1">
      <protection locked="0"/>
    </xf>
    <xf numFmtId="0" fontId="4" fillId="0" borderId="1" xfId="0" applyFont="1" applyBorder="1" applyAlignment="1">
      <alignment horizontal="left" vertical="center"/>
    </xf>
    <xf numFmtId="0" fontId="5" fillId="2" borderId="5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2" fillId="0" borderId="0" xfId="0" applyFont="1" applyBorder="1" applyProtection="1">
      <protection locked="0"/>
    </xf>
    <xf numFmtId="20" fontId="2" fillId="0" borderId="0" xfId="0" applyNumberFormat="1" applyFont="1" applyBorder="1" applyProtection="1">
      <protection locked="0"/>
    </xf>
    <xf numFmtId="22" fontId="2" fillId="0" borderId="0" xfId="0" applyNumberFormat="1" applyFont="1" applyBorder="1" applyProtection="1">
      <protection locked="0"/>
    </xf>
    <xf numFmtId="0" fontId="4" fillId="0" borderId="1" xfId="0" quotePrefix="1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1" xfId="0" applyFont="1" applyBorder="1" applyAlignment="1" applyProtection="1">
      <alignment horizontal="left" vertical="center"/>
      <protection locked="0"/>
    </xf>
    <xf numFmtId="164" fontId="4" fillId="0" borderId="1" xfId="0" applyNumberFormat="1" applyFont="1" applyBorder="1" applyAlignment="1" applyProtection="1">
      <alignment horizontal="left" vertical="center"/>
      <protection locked="0"/>
    </xf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0" fontId="5" fillId="0" borderId="0" xfId="0" applyFont="1" applyFill="1" applyBorder="1"/>
    <xf numFmtId="0" fontId="4" fillId="0" borderId="0" xfId="0" applyFont="1" applyFill="1" applyBorder="1"/>
    <xf numFmtId="165" fontId="4" fillId="0" borderId="0" xfId="0" applyNumberFormat="1" applyFont="1" applyFill="1" applyBorder="1"/>
    <xf numFmtId="0" fontId="6" fillId="3" borderId="2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  <xf numFmtId="0" fontId="6" fillId="3" borderId="4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4" fillId="0" borderId="2" xfId="0" applyFont="1" applyBorder="1" applyAlignment="1" applyProtection="1">
      <alignment horizontal="left" vertical="top" wrapText="1"/>
      <protection locked="0"/>
    </xf>
    <xf numFmtId="0" fontId="4" fillId="0" borderId="3" xfId="0" applyFont="1" applyBorder="1" applyAlignment="1" applyProtection="1">
      <alignment horizontal="left" vertical="top" wrapText="1"/>
      <protection locked="0"/>
    </xf>
    <xf numFmtId="0" fontId="4" fillId="0" borderId="4" xfId="0" applyFont="1" applyBorder="1" applyAlignment="1" applyProtection="1">
      <alignment horizontal="left" vertical="top" wrapText="1"/>
      <protection locked="0"/>
    </xf>
    <xf numFmtId="0" fontId="2" fillId="0" borderId="0" xfId="0" applyFont="1" applyBorder="1"/>
    <xf numFmtId="0" fontId="7" fillId="0" borderId="0" xfId="0" applyFont="1" applyBorder="1"/>
    <xf numFmtId="165" fontId="2" fillId="0" borderId="0" xfId="0" applyNumberFormat="1" applyFont="1" applyBorder="1"/>
    <xf numFmtId="0" fontId="5" fillId="2" borderId="6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Border="1"/>
    <xf numFmtId="0" fontId="9" fillId="0" borderId="0" xfId="1"/>
    <xf numFmtId="0" fontId="7" fillId="0" borderId="0" xfId="0" applyNumberFormat="1" applyFont="1" applyBorder="1"/>
    <xf numFmtId="164" fontId="4" fillId="0" borderId="1" xfId="0" applyNumberFormat="1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left" vertical="center"/>
    </xf>
    <xf numFmtId="164" fontId="4" fillId="0" borderId="0" xfId="0" applyNumberFormat="1" applyFont="1" applyBorder="1" applyProtection="1">
      <protection locked="0"/>
    </xf>
  </cellXfs>
  <cellStyles count="2">
    <cellStyle name="Hyperlink" xfId="1" builtinId="8"/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\ hh:mm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9" formatCode="mm/dd/yyyy"/>
    </dxf>
    <dxf>
      <numFmt numFmtId="19" formatCode="mm/dd/yyyy"/>
    </dxf>
    <dxf>
      <numFmt numFmtId="19" formatCode="mm/dd/yyyy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Ticket Status Trending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Interface!$D$24</c:f>
              <c:strCache>
                <c:ptCount val="1"/>
                <c:pt idx="0">
                  <c:v>Open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1"/>
              </a:solidFill>
              <a:prstDash val="solid"/>
              <a:miter lim="800000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Interface!$B$25:$B$35</c:f>
              <c:numCache>
                <c:formatCode>mm/dd</c:formatCode>
                <c:ptCount val="11"/>
                <c:pt idx="0">
                  <c:v>43398</c:v>
                </c:pt>
                <c:pt idx="1">
                  <c:v>43399</c:v>
                </c:pt>
                <c:pt idx="2">
                  <c:v>43400</c:v>
                </c:pt>
                <c:pt idx="3">
                  <c:v>43401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43407</c:v>
                </c:pt>
                <c:pt idx="10">
                  <c:v>43408</c:v>
                </c:pt>
              </c:numCache>
            </c:numRef>
          </c:cat>
          <c:val>
            <c:numRef>
              <c:f>Interface!$D$25:$D$35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F9-47EA-911F-777FFBC5C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7237055"/>
        <c:axId val="1021208799"/>
      </c:barChart>
      <c:lineChart>
        <c:grouping val="standard"/>
        <c:varyColors val="0"/>
        <c:ser>
          <c:idx val="0"/>
          <c:order val="0"/>
          <c:tx>
            <c:strRef>
              <c:f>Interface!$C$24</c:f>
              <c:strCache>
                <c:ptCount val="1"/>
                <c:pt idx="0">
                  <c:v>Overall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Interface!$B$25:$B$35</c:f>
              <c:numCache>
                <c:formatCode>mm/dd</c:formatCode>
                <c:ptCount val="11"/>
                <c:pt idx="0">
                  <c:v>43398</c:v>
                </c:pt>
                <c:pt idx="1">
                  <c:v>43399</c:v>
                </c:pt>
                <c:pt idx="2">
                  <c:v>43400</c:v>
                </c:pt>
                <c:pt idx="3">
                  <c:v>43401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43407</c:v>
                </c:pt>
                <c:pt idx="10">
                  <c:v>43408</c:v>
                </c:pt>
              </c:numCache>
            </c:numRef>
          </c:cat>
          <c:val>
            <c:numRef>
              <c:f>Interface!$C$25:$C$35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B04-41EE-8591-4D668ECF8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053135"/>
        <c:axId val="229193839"/>
      </c:lineChart>
      <c:catAx>
        <c:axId val="228053135"/>
        <c:scaling>
          <c:orientation val="minMax"/>
        </c:scaling>
        <c:delete val="0"/>
        <c:axPos val="b"/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93839"/>
        <c:crosses val="autoZero"/>
        <c:auto val="0"/>
        <c:lblAlgn val="ctr"/>
        <c:lblOffset val="100"/>
        <c:noMultiLvlLbl val="1"/>
      </c:catAx>
      <c:valAx>
        <c:axId val="229193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8053135"/>
        <c:crosses val="autoZero"/>
        <c:crossBetween val="between"/>
      </c:valAx>
      <c:valAx>
        <c:axId val="1021208799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57237055"/>
        <c:crosses val="max"/>
        <c:crossBetween val="between"/>
      </c:valAx>
      <c:catAx>
        <c:axId val="1157237055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021208799"/>
        <c:auto val="0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0.82176648782211581"/>
          <c:y val="4.1803260701664867E-2"/>
          <c:w val="0.16519690434379156"/>
          <c:h val="9.8813691831809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1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hyperlink" Target="http://comtel.org.in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9526</xdr:rowOff>
    </xdr:from>
    <xdr:to>
      <xdr:col>2</xdr:col>
      <xdr:colOff>438150</xdr:colOff>
      <xdr:row>4</xdr:row>
      <xdr:rowOff>11421</xdr:rowOff>
    </xdr:to>
    <xdr:pic>
      <xdr:nvPicPr>
        <xdr:cNvPr id="9" name="Pictur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53BCE7-4DE4-45F8-BBD1-6FD13B9F28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2609"/>
        <a:stretch/>
      </xdr:blipFill>
      <xdr:spPr>
        <a:xfrm>
          <a:off x="57150" y="66676"/>
          <a:ext cx="1152525" cy="57339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20</xdr:row>
      <xdr:rowOff>19049</xdr:rowOff>
    </xdr:from>
    <xdr:to>
      <xdr:col>13</xdr:col>
      <xdr:colOff>0</xdr:colOff>
      <xdr:row>33</xdr:row>
      <xdr:rowOff>152400</xdr:rowOff>
    </xdr:to>
    <xdr:graphicFrame macro="">
      <xdr:nvGraphicFramePr>
        <xdr:cNvPr id="2" name="TicketTren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38101</xdr:colOff>
          <xdr:row>6</xdr:row>
          <xdr:rowOff>1</xdr:rowOff>
        </xdr:from>
        <xdr:to>
          <xdr:col>16</xdr:col>
          <xdr:colOff>1118101</xdr:colOff>
          <xdr:row>8</xdr:row>
          <xdr:rowOff>22351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38101</xdr:colOff>
          <xdr:row>16</xdr:row>
          <xdr:rowOff>190501</xdr:rowOff>
        </xdr:from>
        <xdr:to>
          <xdr:col>16</xdr:col>
          <xdr:colOff>1118101</xdr:colOff>
          <xdr:row>19</xdr:row>
          <xdr:rowOff>3301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38101</xdr:colOff>
          <xdr:row>13</xdr:row>
          <xdr:rowOff>19051</xdr:rowOff>
        </xdr:from>
        <xdr:to>
          <xdr:col>16</xdr:col>
          <xdr:colOff>1118101</xdr:colOff>
          <xdr:row>15</xdr:row>
          <xdr:rowOff>41401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34</xdr:row>
          <xdr:rowOff>9526</xdr:rowOff>
        </xdr:from>
        <xdr:to>
          <xdr:col>13</xdr:col>
          <xdr:colOff>0</xdr:colOff>
          <xdr:row>35</xdr:row>
          <xdr:rowOff>9526</xdr:rowOff>
        </xdr:to>
        <xdr:sp macro="" textlink="">
          <xdr:nvSpPr>
            <xdr:cNvPr id="2066" name="ScrollBar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47625</xdr:colOff>
      <xdr:row>1</xdr:row>
      <xdr:rowOff>9525</xdr:rowOff>
    </xdr:from>
    <xdr:to>
      <xdr:col>16</xdr:col>
      <xdr:colOff>1181099</xdr:colOff>
      <xdr:row>3</xdr:row>
      <xdr:rowOff>180975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B311716-FC71-472D-AEE9-28B61E5506B8}"/>
            </a:ext>
          </a:extLst>
        </xdr:cNvPr>
        <xdr:cNvSpPr/>
      </xdr:nvSpPr>
      <xdr:spPr>
        <a:xfrm>
          <a:off x="47625" y="66675"/>
          <a:ext cx="12649199" cy="55245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IT Helpdesk</a:t>
          </a:r>
          <a:r>
            <a:rPr lang="en-IN" sz="3200" baseline="0"/>
            <a:t> Manager</a:t>
          </a:r>
          <a:endParaRPr lang="en-IN" sz="3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</xdr:colOff>
          <xdr:row>1</xdr:row>
          <xdr:rowOff>152400</xdr:rowOff>
        </xdr:from>
        <xdr:to>
          <xdr:col>16</xdr:col>
          <xdr:colOff>1127625</xdr:colOff>
          <xdr:row>3</xdr:row>
          <xdr:rowOff>41400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68B45FAE-F055-40A8-B050-5B5897F30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tegory" displayName="Category" ref="A1:A3" totalsRowShown="0" headerRowDxfId="15">
  <tableColumns count="1">
    <tableColumn id="1" xr3:uid="{00000000-0010-0000-0000-000001000000}" name="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ngineer" displayName="Engineer" ref="M1:M6" totalsRowShown="0" headerRowDxfId="14">
  <tableColumns count="1">
    <tableColumn id="1" xr3:uid="{00000000-0010-0000-0100-000001000000}" name="Engine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Location" displayName="Location" ref="G1:G6" totalsRowShown="0" headerRowDxfId="13">
  <tableColumns count="1">
    <tableColumn id="1" xr3:uid="{00000000-0010-0000-0200-000001000000}" name="Loca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Department" displayName="Department" ref="I1:I6" totalsRowShown="0">
  <tableColumns count="1">
    <tableColumn id="1" xr3:uid="{00000000-0010-0000-0300-000001000000}" name="Depart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Issue" displayName="Issue" ref="C1:C6" totalsRowShown="0" headerRowDxfId="12">
  <tableColumns count="1">
    <tableColumn id="1" xr3:uid="{00000000-0010-0000-0400-000001000000}" name="Iss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Request" displayName="Request" ref="E1:E6" totalsRowShown="0" headerRowDxfId="11">
  <tableColumns count="1">
    <tableColumn id="1" xr3:uid="{00000000-0010-0000-0500-000001000000}" name="Reques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Process" displayName="Process" ref="K1:K6" totalsRowShown="0">
  <tableColumns count="1">
    <tableColumn id="1" xr3:uid="{00000000-0010-0000-0600-000001000000}" name="Proc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TSetup" displayName="TATSetup" ref="O1:Q11" totalsRowShown="0">
  <autoFilter ref="O1:Q11" xr:uid="{00000000-0009-0000-0100-000009000000}"/>
  <tableColumns count="3">
    <tableColumn id="1" xr3:uid="{00000000-0010-0000-0700-000001000000}" name="Category"/>
    <tableColumn id="2" xr3:uid="{00000000-0010-0000-0700-000002000000}" name="Sub Category"/>
    <tableColumn id="3" xr3:uid="{00000000-0010-0000-0700-000003000000}" name="TAT Allowe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MailIndex" displayName="MailIndex" ref="S1:T6" totalsRowShown="0">
  <autoFilter ref="S1:T6" xr:uid="{00000000-0009-0000-0100-00000A000000}"/>
  <tableColumns count="2">
    <tableColumn id="1" xr3:uid="{00000000-0010-0000-0800-000001000000}" name="Process"/>
    <tableColumn id="2" xr3:uid="{00000000-0010-0000-0800-000002000000}" name="Mail ID" dataDxfId="10">
      <calculatedColumnFormula>MailIndex[[#This Row],[Process]]&amp;"@abc.com"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1CDB4B8-B9D2-488A-9076-225AF2ACB9D7}" name="Table14" displayName="Table14" ref="V1:V3" totalsRowShown="0" dataCellStyle="Hyperlink">
  <autoFilter ref="V1:V3" xr:uid="{BAA4B83E-AFA1-4E58-A9B1-76CCF6406829}"/>
  <tableColumns count="1">
    <tableColumn id="1" xr3:uid="{A11CEECE-3A00-45C8-9959-FDE2DD77FB7F}" name="Status Mail" dataCellStyle="Hyperlink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D71F62-5E1D-414F-BCF6-916489A2A198}" name="Table11" displayName="Table11" ref="O24:Q34" totalsRowShown="0" headerRowDxfId="4" dataDxfId="0">
  <autoFilter ref="O24:Q34" xr:uid="{8979E2E2-7D1F-4D19-8CBA-D85E975BF9BB}"/>
  <tableColumns count="3">
    <tableColumn id="1" xr3:uid="{040CCD9D-3E76-4470-B0CC-7F9AFDD83485}" name="Date" dataDxfId="3"/>
    <tableColumn id="2" xr3:uid="{3C4FAC61-35D8-433B-AB11-10BE59DF3631}" name="Ticket #" dataDxfId="2"/>
    <tableColumn id="3" xr3:uid="{2F5312DD-3B34-42CE-A2E3-46B95A48F139}" name="Category" dataDxfId="1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Data" displayName="Data" ref="A1:P5" totalsRowShown="0" headerRowDxfId="9">
  <tableColumns count="16">
    <tableColumn id="15" xr3:uid="{00000000-0010-0000-0900-00000F000000}" name="1" dataDxfId="8">
      <calculatedColumnFormula>A1+1</calculatedColumnFormula>
    </tableColumn>
    <tableColumn id="1" xr3:uid="{00000000-0010-0000-0900-000001000000}" name="Ticket #"/>
    <tableColumn id="14" xr3:uid="{00000000-0010-0000-0900-00000E000000}" name="Location"/>
    <tableColumn id="13" xr3:uid="{00000000-0010-0000-0900-00000D000000}" name="Department"/>
    <tableColumn id="2" xr3:uid="{00000000-0010-0000-0900-000002000000}" name="Workstation"/>
    <tableColumn id="3" xr3:uid="{00000000-0010-0000-0900-000003000000}" name="User Name"/>
    <tableColumn id="4" xr3:uid="{00000000-0010-0000-0900-000004000000}" name="Process"/>
    <tableColumn id="5" xr3:uid="{00000000-0010-0000-0900-000005000000}" name="Category"/>
    <tableColumn id="6" xr3:uid="{00000000-0010-0000-0900-000006000000}" name="SubCategory"/>
    <tableColumn id="7" xr3:uid="{00000000-0010-0000-0900-000007000000}" name="Engineer"/>
    <tableColumn id="8" xr3:uid="{00000000-0010-0000-0900-000008000000}" name="Assigned Time" dataDxfId="7"/>
    <tableColumn id="9" xr3:uid="{00000000-0010-0000-0900-000009000000}" name="Closure Time" dataDxfId="6"/>
    <tableColumn id="10" xr3:uid="{00000000-0010-0000-0900-00000A000000}" name="Notes"/>
    <tableColumn id="11" xr3:uid="{00000000-0010-0000-0900-00000B000000}" name="Status"/>
    <tableColumn id="12" xr3:uid="{00000000-0010-0000-0900-00000C000000}" name="TAT Status"/>
    <tableColumn id="16" xr3:uid="{8D6240DE-9686-482C-93B3-A1D798D77542}" name="Date" dataDxfId="5">
      <calculatedColumnFormula>VALUE(TEXT(Data[Assigned Time],"MM/DD/YYYY"))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hyperlink" Target="mailto:itsupport@comnet.org.in" TargetMode="External"/><Relationship Id="rId1" Type="http://schemas.openxmlformats.org/officeDocument/2006/relationships/hyperlink" Target="mailto:shyam.dragon89@gmail.com" TargetMode="Externa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67BDC-3D95-4470-9EC8-87E4AA173D2E}">
  <sheetPr codeName="Sheet4"/>
  <dimension ref="B1:D102"/>
  <sheetViews>
    <sheetView showGridLines="0" workbookViewId="0"/>
  </sheetViews>
  <sheetFormatPr defaultRowHeight="15" x14ac:dyDescent="0.25"/>
  <cols>
    <col min="1" max="1" width="0.85546875" customWidth="1"/>
    <col min="3" max="3" width="10.7109375" bestFit="1" customWidth="1"/>
    <col min="4" max="4" width="0.85546875" customWidth="1"/>
  </cols>
  <sheetData>
    <row r="1" spans="2:4" ht="5.0999999999999996" customHeight="1" x14ac:dyDescent="0.25"/>
    <row r="2" spans="2:4" x14ac:dyDescent="0.25">
      <c r="B2" s="22" t="s">
        <v>61</v>
      </c>
      <c r="C2" s="22" t="s">
        <v>60</v>
      </c>
      <c r="D2" s="23"/>
    </row>
    <row r="3" spans="2:4" x14ac:dyDescent="0.25">
      <c r="B3" s="23">
        <v>1</v>
      </c>
      <c r="C3" s="24">
        <f t="shared" ref="C3:C66" ca="1" si="0">C4-1</f>
        <v>43309</v>
      </c>
      <c r="D3" s="23">
        <v>1</v>
      </c>
    </row>
    <row r="4" spans="2:4" x14ac:dyDescent="0.25">
      <c r="B4" s="23">
        <f>B3+1</f>
        <v>2</v>
      </c>
      <c r="C4" s="24">
        <f t="shared" ca="1" si="0"/>
        <v>43310</v>
      </c>
      <c r="D4" s="23"/>
    </row>
    <row r="5" spans="2:4" x14ac:dyDescent="0.25">
      <c r="B5" s="23">
        <f t="shared" ref="B5:B68" si="1">B4+1</f>
        <v>3</v>
      </c>
      <c r="C5" s="24">
        <f t="shared" ca="1" si="0"/>
        <v>43311</v>
      </c>
      <c r="D5" s="23"/>
    </row>
    <row r="6" spans="2:4" x14ac:dyDescent="0.25">
      <c r="B6" s="23">
        <f t="shared" si="1"/>
        <v>4</v>
      </c>
      <c r="C6" s="24">
        <f t="shared" ca="1" si="0"/>
        <v>43312</v>
      </c>
      <c r="D6" s="23"/>
    </row>
    <row r="7" spans="2:4" x14ac:dyDescent="0.25">
      <c r="B7" s="23">
        <f t="shared" si="1"/>
        <v>5</v>
      </c>
      <c r="C7" s="24">
        <f t="shared" ca="1" si="0"/>
        <v>43313</v>
      </c>
      <c r="D7" s="23"/>
    </row>
    <row r="8" spans="2:4" x14ac:dyDescent="0.25">
      <c r="B8" s="23">
        <f t="shared" si="1"/>
        <v>6</v>
      </c>
      <c r="C8" s="24">
        <f t="shared" ca="1" si="0"/>
        <v>43314</v>
      </c>
      <c r="D8" s="23"/>
    </row>
    <row r="9" spans="2:4" x14ac:dyDescent="0.25">
      <c r="B9" s="23">
        <f t="shared" si="1"/>
        <v>7</v>
      </c>
      <c r="C9" s="24">
        <f t="shared" ca="1" si="0"/>
        <v>43315</v>
      </c>
      <c r="D9" s="23"/>
    </row>
    <row r="10" spans="2:4" x14ac:dyDescent="0.25">
      <c r="B10" s="23">
        <f t="shared" si="1"/>
        <v>8</v>
      </c>
      <c r="C10" s="24">
        <f t="shared" ca="1" si="0"/>
        <v>43316</v>
      </c>
      <c r="D10" s="23"/>
    </row>
    <row r="11" spans="2:4" x14ac:dyDescent="0.25">
      <c r="B11" s="23">
        <f t="shared" si="1"/>
        <v>9</v>
      </c>
      <c r="C11" s="24">
        <f t="shared" ca="1" si="0"/>
        <v>43317</v>
      </c>
      <c r="D11" s="23"/>
    </row>
    <row r="12" spans="2:4" x14ac:dyDescent="0.25">
      <c r="B12" s="23">
        <f t="shared" si="1"/>
        <v>10</v>
      </c>
      <c r="C12" s="24">
        <f t="shared" ca="1" si="0"/>
        <v>43318</v>
      </c>
      <c r="D12" s="23"/>
    </row>
    <row r="13" spans="2:4" x14ac:dyDescent="0.25">
      <c r="B13" s="23">
        <f t="shared" si="1"/>
        <v>11</v>
      </c>
      <c r="C13" s="24">
        <f t="shared" ca="1" si="0"/>
        <v>43319</v>
      </c>
      <c r="D13" s="23"/>
    </row>
    <row r="14" spans="2:4" x14ac:dyDescent="0.25">
      <c r="B14" s="23">
        <f t="shared" si="1"/>
        <v>12</v>
      </c>
      <c r="C14" s="24">
        <f t="shared" ca="1" si="0"/>
        <v>43320</v>
      </c>
      <c r="D14" s="23"/>
    </row>
    <row r="15" spans="2:4" x14ac:dyDescent="0.25">
      <c r="B15" s="23">
        <f t="shared" si="1"/>
        <v>13</v>
      </c>
      <c r="C15" s="24">
        <f t="shared" ca="1" si="0"/>
        <v>43321</v>
      </c>
      <c r="D15" s="23"/>
    </row>
    <row r="16" spans="2:4" x14ac:dyDescent="0.25">
      <c r="B16" s="23">
        <f t="shared" si="1"/>
        <v>14</v>
      </c>
      <c r="C16" s="24">
        <f t="shared" ca="1" si="0"/>
        <v>43322</v>
      </c>
      <c r="D16" s="23"/>
    </row>
    <row r="17" spans="2:4" x14ac:dyDescent="0.25">
      <c r="B17" s="23">
        <f t="shared" si="1"/>
        <v>15</v>
      </c>
      <c r="C17" s="24">
        <f t="shared" ca="1" si="0"/>
        <v>43323</v>
      </c>
      <c r="D17" s="23"/>
    </row>
    <row r="18" spans="2:4" x14ac:dyDescent="0.25">
      <c r="B18" s="23">
        <f t="shared" si="1"/>
        <v>16</v>
      </c>
      <c r="C18" s="24">
        <f t="shared" ca="1" si="0"/>
        <v>43324</v>
      </c>
      <c r="D18" s="23"/>
    </row>
    <row r="19" spans="2:4" x14ac:dyDescent="0.25">
      <c r="B19" s="23">
        <f t="shared" si="1"/>
        <v>17</v>
      </c>
      <c r="C19" s="24">
        <f t="shared" ca="1" si="0"/>
        <v>43325</v>
      </c>
      <c r="D19" s="23"/>
    </row>
    <row r="20" spans="2:4" x14ac:dyDescent="0.25">
      <c r="B20" s="23">
        <f t="shared" si="1"/>
        <v>18</v>
      </c>
      <c r="C20" s="24">
        <f t="shared" ca="1" si="0"/>
        <v>43326</v>
      </c>
      <c r="D20" s="23"/>
    </row>
    <row r="21" spans="2:4" x14ac:dyDescent="0.25">
      <c r="B21" s="23">
        <f t="shared" si="1"/>
        <v>19</v>
      </c>
      <c r="C21" s="24">
        <f t="shared" ca="1" si="0"/>
        <v>43327</v>
      </c>
      <c r="D21" s="23"/>
    </row>
    <row r="22" spans="2:4" x14ac:dyDescent="0.25">
      <c r="B22" s="23">
        <f t="shared" si="1"/>
        <v>20</v>
      </c>
      <c r="C22" s="24">
        <f t="shared" ca="1" si="0"/>
        <v>43328</v>
      </c>
      <c r="D22" s="23"/>
    </row>
    <row r="23" spans="2:4" x14ac:dyDescent="0.25">
      <c r="B23" s="23">
        <f t="shared" si="1"/>
        <v>21</v>
      </c>
      <c r="C23" s="24">
        <f t="shared" ca="1" si="0"/>
        <v>43329</v>
      </c>
      <c r="D23" s="23"/>
    </row>
    <row r="24" spans="2:4" x14ac:dyDescent="0.25">
      <c r="B24" s="23">
        <f t="shared" si="1"/>
        <v>22</v>
      </c>
      <c r="C24" s="24">
        <f t="shared" ca="1" si="0"/>
        <v>43330</v>
      </c>
      <c r="D24" s="23"/>
    </row>
    <row r="25" spans="2:4" x14ac:dyDescent="0.25">
      <c r="B25" s="23">
        <f t="shared" si="1"/>
        <v>23</v>
      </c>
      <c r="C25" s="24">
        <f t="shared" ca="1" si="0"/>
        <v>43331</v>
      </c>
      <c r="D25" s="23"/>
    </row>
    <row r="26" spans="2:4" x14ac:dyDescent="0.25">
      <c r="B26" s="23">
        <f t="shared" si="1"/>
        <v>24</v>
      </c>
      <c r="C26" s="24">
        <f t="shared" ca="1" si="0"/>
        <v>43332</v>
      </c>
      <c r="D26" s="23"/>
    </row>
    <row r="27" spans="2:4" x14ac:dyDescent="0.25">
      <c r="B27" s="23">
        <f t="shared" si="1"/>
        <v>25</v>
      </c>
      <c r="C27" s="24">
        <f t="shared" ca="1" si="0"/>
        <v>43333</v>
      </c>
      <c r="D27" s="23"/>
    </row>
    <row r="28" spans="2:4" x14ac:dyDescent="0.25">
      <c r="B28" s="23">
        <f t="shared" si="1"/>
        <v>26</v>
      </c>
      <c r="C28" s="24">
        <f t="shared" ca="1" si="0"/>
        <v>43334</v>
      </c>
      <c r="D28" s="23"/>
    </row>
    <row r="29" spans="2:4" x14ac:dyDescent="0.25">
      <c r="B29" s="23">
        <f t="shared" si="1"/>
        <v>27</v>
      </c>
      <c r="C29" s="24">
        <f t="shared" ca="1" si="0"/>
        <v>43335</v>
      </c>
      <c r="D29" s="23"/>
    </row>
    <row r="30" spans="2:4" x14ac:dyDescent="0.25">
      <c r="B30" s="23">
        <f t="shared" si="1"/>
        <v>28</v>
      </c>
      <c r="C30" s="24">
        <f t="shared" ca="1" si="0"/>
        <v>43336</v>
      </c>
      <c r="D30" s="23"/>
    </row>
    <row r="31" spans="2:4" x14ac:dyDescent="0.25">
      <c r="B31" s="23">
        <f t="shared" si="1"/>
        <v>29</v>
      </c>
      <c r="C31" s="24">
        <f t="shared" ca="1" si="0"/>
        <v>43337</v>
      </c>
      <c r="D31" s="23"/>
    </row>
    <row r="32" spans="2:4" x14ac:dyDescent="0.25">
      <c r="B32" s="23">
        <f t="shared" si="1"/>
        <v>30</v>
      </c>
      <c r="C32" s="24">
        <f t="shared" ca="1" si="0"/>
        <v>43338</v>
      </c>
      <c r="D32" s="23"/>
    </row>
    <row r="33" spans="2:4" x14ac:dyDescent="0.25">
      <c r="B33" s="23">
        <f t="shared" si="1"/>
        <v>31</v>
      </c>
      <c r="C33" s="24">
        <f t="shared" ca="1" si="0"/>
        <v>43339</v>
      </c>
      <c r="D33" s="23"/>
    </row>
    <row r="34" spans="2:4" x14ac:dyDescent="0.25">
      <c r="B34" s="23">
        <f t="shared" si="1"/>
        <v>32</v>
      </c>
      <c r="C34" s="24">
        <f t="shared" ca="1" si="0"/>
        <v>43340</v>
      </c>
      <c r="D34" s="23"/>
    </row>
    <row r="35" spans="2:4" x14ac:dyDescent="0.25">
      <c r="B35" s="23">
        <f t="shared" si="1"/>
        <v>33</v>
      </c>
      <c r="C35" s="24">
        <f t="shared" ca="1" si="0"/>
        <v>43341</v>
      </c>
      <c r="D35" s="23"/>
    </row>
    <row r="36" spans="2:4" x14ac:dyDescent="0.25">
      <c r="B36" s="23">
        <f t="shared" si="1"/>
        <v>34</v>
      </c>
      <c r="C36" s="24">
        <f t="shared" ca="1" si="0"/>
        <v>43342</v>
      </c>
      <c r="D36" s="23"/>
    </row>
    <row r="37" spans="2:4" x14ac:dyDescent="0.25">
      <c r="B37" s="23">
        <f t="shared" si="1"/>
        <v>35</v>
      </c>
      <c r="C37" s="24">
        <f t="shared" ca="1" si="0"/>
        <v>43343</v>
      </c>
      <c r="D37" s="23"/>
    </row>
    <row r="38" spans="2:4" x14ac:dyDescent="0.25">
      <c r="B38" s="23">
        <f t="shared" si="1"/>
        <v>36</v>
      </c>
      <c r="C38" s="24">
        <f t="shared" ca="1" si="0"/>
        <v>43344</v>
      </c>
      <c r="D38" s="23"/>
    </row>
    <row r="39" spans="2:4" x14ac:dyDescent="0.25">
      <c r="B39" s="23">
        <f t="shared" si="1"/>
        <v>37</v>
      </c>
      <c r="C39" s="24">
        <f t="shared" ca="1" si="0"/>
        <v>43345</v>
      </c>
      <c r="D39" s="23"/>
    </row>
    <row r="40" spans="2:4" x14ac:dyDescent="0.25">
      <c r="B40" s="23">
        <f t="shared" si="1"/>
        <v>38</v>
      </c>
      <c r="C40" s="24">
        <f t="shared" ca="1" si="0"/>
        <v>43346</v>
      </c>
      <c r="D40" s="23"/>
    </row>
    <row r="41" spans="2:4" x14ac:dyDescent="0.25">
      <c r="B41" s="23">
        <f t="shared" si="1"/>
        <v>39</v>
      </c>
      <c r="C41" s="24">
        <f t="shared" ca="1" si="0"/>
        <v>43347</v>
      </c>
      <c r="D41" s="23"/>
    </row>
    <row r="42" spans="2:4" x14ac:dyDescent="0.25">
      <c r="B42" s="23">
        <f t="shared" si="1"/>
        <v>40</v>
      </c>
      <c r="C42" s="24">
        <f t="shared" ca="1" si="0"/>
        <v>43348</v>
      </c>
      <c r="D42" s="23"/>
    </row>
    <row r="43" spans="2:4" x14ac:dyDescent="0.25">
      <c r="B43" s="23">
        <f t="shared" si="1"/>
        <v>41</v>
      </c>
      <c r="C43" s="24">
        <f t="shared" ca="1" si="0"/>
        <v>43349</v>
      </c>
      <c r="D43" s="23"/>
    </row>
    <row r="44" spans="2:4" x14ac:dyDescent="0.25">
      <c r="B44" s="23">
        <f t="shared" si="1"/>
        <v>42</v>
      </c>
      <c r="C44" s="24">
        <f t="shared" ca="1" si="0"/>
        <v>43350</v>
      </c>
      <c r="D44" s="23"/>
    </row>
    <row r="45" spans="2:4" x14ac:dyDescent="0.25">
      <c r="B45" s="23">
        <f t="shared" si="1"/>
        <v>43</v>
      </c>
      <c r="C45" s="24">
        <f t="shared" ca="1" si="0"/>
        <v>43351</v>
      </c>
      <c r="D45" s="23"/>
    </row>
    <row r="46" spans="2:4" x14ac:dyDescent="0.25">
      <c r="B46" s="23">
        <f t="shared" si="1"/>
        <v>44</v>
      </c>
      <c r="C46" s="24">
        <f t="shared" ca="1" si="0"/>
        <v>43352</v>
      </c>
      <c r="D46" s="23"/>
    </row>
    <row r="47" spans="2:4" x14ac:dyDescent="0.25">
      <c r="B47" s="23">
        <f t="shared" si="1"/>
        <v>45</v>
      </c>
      <c r="C47" s="24">
        <f t="shared" ca="1" si="0"/>
        <v>43353</v>
      </c>
      <c r="D47" s="23"/>
    </row>
    <row r="48" spans="2:4" x14ac:dyDescent="0.25">
      <c r="B48" s="23">
        <f t="shared" si="1"/>
        <v>46</v>
      </c>
      <c r="C48" s="24">
        <f t="shared" ca="1" si="0"/>
        <v>43354</v>
      </c>
      <c r="D48" s="23"/>
    </row>
    <row r="49" spans="2:4" x14ac:dyDescent="0.25">
      <c r="B49" s="23">
        <f t="shared" si="1"/>
        <v>47</v>
      </c>
      <c r="C49" s="24">
        <f t="shared" ca="1" si="0"/>
        <v>43355</v>
      </c>
      <c r="D49" s="23"/>
    </row>
    <row r="50" spans="2:4" x14ac:dyDescent="0.25">
      <c r="B50" s="23">
        <f t="shared" si="1"/>
        <v>48</v>
      </c>
      <c r="C50" s="24">
        <f t="shared" ca="1" si="0"/>
        <v>43356</v>
      </c>
      <c r="D50" s="23"/>
    </row>
    <row r="51" spans="2:4" x14ac:dyDescent="0.25">
      <c r="B51" s="23">
        <f t="shared" si="1"/>
        <v>49</v>
      </c>
      <c r="C51" s="24">
        <f t="shared" ca="1" si="0"/>
        <v>43357</v>
      </c>
      <c r="D51" s="23"/>
    </row>
    <row r="52" spans="2:4" x14ac:dyDescent="0.25">
      <c r="B52" s="23">
        <f t="shared" si="1"/>
        <v>50</v>
      </c>
      <c r="C52" s="24">
        <f t="shared" ca="1" si="0"/>
        <v>43358</v>
      </c>
      <c r="D52" s="23"/>
    </row>
    <row r="53" spans="2:4" x14ac:dyDescent="0.25">
      <c r="B53" s="23">
        <f t="shared" si="1"/>
        <v>51</v>
      </c>
      <c r="C53" s="24">
        <f t="shared" ca="1" si="0"/>
        <v>43359</v>
      </c>
      <c r="D53" s="23"/>
    </row>
    <row r="54" spans="2:4" x14ac:dyDescent="0.25">
      <c r="B54" s="23">
        <f t="shared" si="1"/>
        <v>52</v>
      </c>
      <c r="C54" s="24">
        <f t="shared" ca="1" si="0"/>
        <v>43360</v>
      </c>
      <c r="D54" s="23"/>
    </row>
    <row r="55" spans="2:4" x14ac:dyDescent="0.25">
      <c r="B55" s="23">
        <f t="shared" si="1"/>
        <v>53</v>
      </c>
      <c r="C55" s="24">
        <f t="shared" ca="1" si="0"/>
        <v>43361</v>
      </c>
      <c r="D55" s="23"/>
    </row>
    <row r="56" spans="2:4" x14ac:dyDescent="0.25">
      <c r="B56" s="23">
        <f t="shared" si="1"/>
        <v>54</v>
      </c>
      <c r="C56" s="24">
        <f t="shared" ca="1" si="0"/>
        <v>43362</v>
      </c>
      <c r="D56" s="23"/>
    </row>
    <row r="57" spans="2:4" x14ac:dyDescent="0.25">
      <c r="B57" s="23">
        <f t="shared" si="1"/>
        <v>55</v>
      </c>
      <c r="C57" s="24">
        <f t="shared" ca="1" si="0"/>
        <v>43363</v>
      </c>
      <c r="D57" s="23"/>
    </row>
    <row r="58" spans="2:4" x14ac:dyDescent="0.25">
      <c r="B58" s="23">
        <f t="shared" si="1"/>
        <v>56</v>
      </c>
      <c r="C58" s="24">
        <f t="shared" ca="1" si="0"/>
        <v>43364</v>
      </c>
      <c r="D58" s="23"/>
    </row>
    <row r="59" spans="2:4" x14ac:dyDescent="0.25">
      <c r="B59" s="23">
        <f t="shared" si="1"/>
        <v>57</v>
      </c>
      <c r="C59" s="24">
        <f t="shared" ca="1" si="0"/>
        <v>43365</v>
      </c>
      <c r="D59" s="23"/>
    </row>
    <row r="60" spans="2:4" x14ac:dyDescent="0.25">
      <c r="B60" s="23">
        <f t="shared" si="1"/>
        <v>58</v>
      </c>
      <c r="C60" s="24">
        <f t="shared" ca="1" si="0"/>
        <v>43366</v>
      </c>
      <c r="D60" s="23"/>
    </row>
    <row r="61" spans="2:4" x14ac:dyDescent="0.25">
      <c r="B61" s="23">
        <f t="shared" si="1"/>
        <v>59</v>
      </c>
      <c r="C61" s="24">
        <f t="shared" ca="1" si="0"/>
        <v>43367</v>
      </c>
      <c r="D61" s="23"/>
    </row>
    <row r="62" spans="2:4" x14ac:dyDescent="0.25">
      <c r="B62" s="23">
        <f t="shared" si="1"/>
        <v>60</v>
      </c>
      <c r="C62" s="24">
        <f t="shared" ca="1" si="0"/>
        <v>43368</v>
      </c>
      <c r="D62" s="23"/>
    </row>
    <row r="63" spans="2:4" x14ac:dyDescent="0.25">
      <c r="B63" s="23">
        <f t="shared" si="1"/>
        <v>61</v>
      </c>
      <c r="C63" s="24">
        <f t="shared" ca="1" si="0"/>
        <v>43369</v>
      </c>
      <c r="D63" s="23"/>
    </row>
    <row r="64" spans="2:4" x14ac:dyDescent="0.25">
      <c r="B64" s="23">
        <f t="shared" si="1"/>
        <v>62</v>
      </c>
      <c r="C64" s="24">
        <f t="shared" ca="1" si="0"/>
        <v>43370</v>
      </c>
      <c r="D64" s="23"/>
    </row>
    <row r="65" spans="2:4" x14ac:dyDescent="0.25">
      <c r="B65" s="23">
        <f t="shared" si="1"/>
        <v>63</v>
      </c>
      <c r="C65" s="24">
        <f t="shared" ca="1" si="0"/>
        <v>43371</v>
      </c>
      <c r="D65" s="23"/>
    </row>
    <row r="66" spans="2:4" x14ac:dyDescent="0.25">
      <c r="B66" s="23">
        <f t="shared" si="1"/>
        <v>64</v>
      </c>
      <c r="C66" s="24">
        <f t="shared" ca="1" si="0"/>
        <v>43372</v>
      </c>
      <c r="D66" s="23"/>
    </row>
    <row r="67" spans="2:4" x14ac:dyDescent="0.25">
      <c r="B67" s="23">
        <f t="shared" si="1"/>
        <v>65</v>
      </c>
      <c r="C67" s="24">
        <f t="shared" ref="C67:C100" ca="1" si="2">C68-1</f>
        <v>43373</v>
      </c>
      <c r="D67" s="23"/>
    </row>
    <row r="68" spans="2:4" x14ac:dyDescent="0.25">
      <c r="B68" s="23">
        <f t="shared" si="1"/>
        <v>66</v>
      </c>
      <c r="C68" s="24">
        <f t="shared" ca="1" si="2"/>
        <v>43374</v>
      </c>
      <c r="D68" s="23"/>
    </row>
    <row r="69" spans="2:4" x14ac:dyDescent="0.25">
      <c r="B69" s="23">
        <f t="shared" ref="B69:B102" si="3">B68+1</f>
        <v>67</v>
      </c>
      <c r="C69" s="24">
        <f t="shared" ca="1" si="2"/>
        <v>43375</v>
      </c>
      <c r="D69" s="23"/>
    </row>
    <row r="70" spans="2:4" x14ac:dyDescent="0.25">
      <c r="B70" s="23">
        <f t="shared" si="3"/>
        <v>68</v>
      </c>
      <c r="C70" s="24">
        <f t="shared" ca="1" si="2"/>
        <v>43376</v>
      </c>
      <c r="D70" s="23"/>
    </row>
    <row r="71" spans="2:4" x14ac:dyDescent="0.25">
      <c r="B71" s="23">
        <f t="shared" si="3"/>
        <v>69</v>
      </c>
      <c r="C71" s="24">
        <f t="shared" ca="1" si="2"/>
        <v>43377</v>
      </c>
      <c r="D71" s="23"/>
    </row>
    <row r="72" spans="2:4" x14ac:dyDescent="0.25">
      <c r="B72" s="23">
        <f t="shared" si="3"/>
        <v>70</v>
      </c>
      <c r="C72" s="24">
        <f t="shared" ca="1" si="2"/>
        <v>43378</v>
      </c>
      <c r="D72" s="23"/>
    </row>
    <row r="73" spans="2:4" x14ac:dyDescent="0.25">
      <c r="B73" s="23">
        <f t="shared" si="3"/>
        <v>71</v>
      </c>
      <c r="C73" s="24">
        <f t="shared" ca="1" si="2"/>
        <v>43379</v>
      </c>
      <c r="D73" s="23"/>
    </row>
    <row r="74" spans="2:4" x14ac:dyDescent="0.25">
      <c r="B74" s="23">
        <f t="shared" si="3"/>
        <v>72</v>
      </c>
      <c r="C74" s="24">
        <f t="shared" ca="1" si="2"/>
        <v>43380</v>
      </c>
      <c r="D74" s="23"/>
    </row>
    <row r="75" spans="2:4" x14ac:dyDescent="0.25">
      <c r="B75" s="23">
        <f t="shared" si="3"/>
        <v>73</v>
      </c>
      <c r="C75" s="24">
        <f t="shared" ca="1" si="2"/>
        <v>43381</v>
      </c>
      <c r="D75" s="23"/>
    </row>
    <row r="76" spans="2:4" x14ac:dyDescent="0.25">
      <c r="B76" s="23">
        <f t="shared" si="3"/>
        <v>74</v>
      </c>
      <c r="C76" s="24">
        <f t="shared" ca="1" si="2"/>
        <v>43382</v>
      </c>
      <c r="D76" s="23"/>
    </row>
    <row r="77" spans="2:4" x14ac:dyDescent="0.25">
      <c r="B77" s="23">
        <f t="shared" si="3"/>
        <v>75</v>
      </c>
      <c r="C77" s="24">
        <f t="shared" ca="1" si="2"/>
        <v>43383</v>
      </c>
      <c r="D77" s="23"/>
    </row>
    <row r="78" spans="2:4" x14ac:dyDescent="0.25">
      <c r="B78" s="23">
        <f t="shared" si="3"/>
        <v>76</v>
      </c>
      <c r="C78" s="24">
        <f t="shared" ca="1" si="2"/>
        <v>43384</v>
      </c>
      <c r="D78" s="23"/>
    </row>
    <row r="79" spans="2:4" x14ac:dyDescent="0.25">
      <c r="B79" s="23">
        <f t="shared" si="3"/>
        <v>77</v>
      </c>
      <c r="C79" s="24">
        <f t="shared" ca="1" si="2"/>
        <v>43385</v>
      </c>
      <c r="D79" s="23"/>
    </row>
    <row r="80" spans="2:4" x14ac:dyDescent="0.25">
      <c r="B80" s="23">
        <f t="shared" si="3"/>
        <v>78</v>
      </c>
      <c r="C80" s="24">
        <f t="shared" ca="1" si="2"/>
        <v>43386</v>
      </c>
      <c r="D80" s="23"/>
    </row>
    <row r="81" spans="2:4" x14ac:dyDescent="0.25">
      <c r="B81" s="23">
        <f t="shared" si="3"/>
        <v>79</v>
      </c>
      <c r="C81" s="24">
        <f t="shared" ca="1" si="2"/>
        <v>43387</v>
      </c>
      <c r="D81" s="23"/>
    </row>
    <row r="82" spans="2:4" x14ac:dyDescent="0.25">
      <c r="B82" s="23">
        <f t="shared" si="3"/>
        <v>80</v>
      </c>
      <c r="C82" s="24">
        <f t="shared" ca="1" si="2"/>
        <v>43388</v>
      </c>
      <c r="D82" s="23"/>
    </row>
    <row r="83" spans="2:4" x14ac:dyDescent="0.25">
      <c r="B83" s="23">
        <f t="shared" si="3"/>
        <v>81</v>
      </c>
      <c r="C83" s="24">
        <f t="shared" ca="1" si="2"/>
        <v>43389</v>
      </c>
      <c r="D83" s="23"/>
    </row>
    <row r="84" spans="2:4" x14ac:dyDescent="0.25">
      <c r="B84" s="23">
        <f t="shared" si="3"/>
        <v>82</v>
      </c>
      <c r="C84" s="24">
        <f t="shared" ca="1" si="2"/>
        <v>43390</v>
      </c>
      <c r="D84" s="23"/>
    </row>
    <row r="85" spans="2:4" x14ac:dyDescent="0.25">
      <c r="B85" s="23">
        <f t="shared" si="3"/>
        <v>83</v>
      </c>
      <c r="C85" s="24">
        <f t="shared" ca="1" si="2"/>
        <v>43391</v>
      </c>
      <c r="D85" s="23"/>
    </row>
    <row r="86" spans="2:4" x14ac:dyDescent="0.25">
      <c r="B86" s="23">
        <f t="shared" si="3"/>
        <v>84</v>
      </c>
      <c r="C86" s="24">
        <f t="shared" ca="1" si="2"/>
        <v>43392</v>
      </c>
      <c r="D86" s="23"/>
    </row>
    <row r="87" spans="2:4" x14ac:dyDescent="0.25">
      <c r="B87" s="23">
        <f t="shared" si="3"/>
        <v>85</v>
      </c>
      <c r="C87" s="24">
        <f t="shared" ca="1" si="2"/>
        <v>43393</v>
      </c>
      <c r="D87" s="23"/>
    </row>
    <row r="88" spans="2:4" x14ac:dyDescent="0.25">
      <c r="B88" s="23">
        <f t="shared" si="3"/>
        <v>86</v>
      </c>
      <c r="C88" s="24">
        <f t="shared" ca="1" si="2"/>
        <v>43394</v>
      </c>
      <c r="D88" s="23"/>
    </row>
    <row r="89" spans="2:4" x14ac:dyDescent="0.25">
      <c r="B89" s="23">
        <f t="shared" si="3"/>
        <v>87</v>
      </c>
      <c r="C89" s="24">
        <f t="shared" ca="1" si="2"/>
        <v>43395</v>
      </c>
      <c r="D89" s="23"/>
    </row>
    <row r="90" spans="2:4" x14ac:dyDescent="0.25">
      <c r="B90" s="23">
        <f t="shared" si="3"/>
        <v>88</v>
      </c>
      <c r="C90" s="24">
        <f t="shared" ca="1" si="2"/>
        <v>43396</v>
      </c>
      <c r="D90" s="23"/>
    </row>
    <row r="91" spans="2:4" x14ac:dyDescent="0.25">
      <c r="B91" s="23">
        <f t="shared" si="3"/>
        <v>89</v>
      </c>
      <c r="C91" s="24">
        <f t="shared" ca="1" si="2"/>
        <v>43397</v>
      </c>
      <c r="D91" s="23"/>
    </row>
    <row r="92" spans="2:4" x14ac:dyDescent="0.25">
      <c r="B92" s="23">
        <f t="shared" si="3"/>
        <v>90</v>
      </c>
      <c r="C92" s="24">
        <f t="shared" ca="1" si="2"/>
        <v>43398</v>
      </c>
      <c r="D92" s="23"/>
    </row>
    <row r="93" spans="2:4" x14ac:dyDescent="0.25">
      <c r="B93" s="23">
        <f t="shared" si="3"/>
        <v>91</v>
      </c>
      <c r="C93" s="24">
        <f t="shared" ca="1" si="2"/>
        <v>43399</v>
      </c>
      <c r="D93" s="23"/>
    </row>
    <row r="94" spans="2:4" x14ac:dyDescent="0.25">
      <c r="B94" s="23">
        <f t="shared" si="3"/>
        <v>92</v>
      </c>
      <c r="C94" s="24">
        <f t="shared" ca="1" si="2"/>
        <v>43400</v>
      </c>
      <c r="D94" s="23"/>
    </row>
    <row r="95" spans="2:4" x14ac:dyDescent="0.25">
      <c r="B95" s="23">
        <f t="shared" si="3"/>
        <v>93</v>
      </c>
      <c r="C95" s="24">
        <f t="shared" ca="1" si="2"/>
        <v>43401</v>
      </c>
      <c r="D95" s="23"/>
    </row>
    <row r="96" spans="2:4" x14ac:dyDescent="0.25">
      <c r="B96" s="23">
        <f t="shared" si="3"/>
        <v>94</v>
      </c>
      <c r="C96" s="24">
        <f t="shared" ca="1" si="2"/>
        <v>43402</v>
      </c>
      <c r="D96" s="23"/>
    </row>
    <row r="97" spans="2:4" x14ac:dyDescent="0.25">
      <c r="B97" s="23">
        <f t="shared" si="3"/>
        <v>95</v>
      </c>
      <c r="C97" s="24">
        <f t="shared" ca="1" si="2"/>
        <v>43403</v>
      </c>
      <c r="D97" s="23"/>
    </row>
    <row r="98" spans="2:4" x14ac:dyDescent="0.25">
      <c r="B98" s="23">
        <f t="shared" si="3"/>
        <v>96</v>
      </c>
      <c r="C98" s="24">
        <f t="shared" ca="1" si="2"/>
        <v>43404</v>
      </c>
      <c r="D98" s="23"/>
    </row>
    <row r="99" spans="2:4" x14ac:dyDescent="0.25">
      <c r="B99" s="23">
        <f t="shared" si="3"/>
        <v>97</v>
      </c>
      <c r="C99" s="24">
        <f t="shared" ca="1" si="2"/>
        <v>43405</v>
      </c>
      <c r="D99" s="23"/>
    </row>
    <row r="100" spans="2:4" x14ac:dyDescent="0.25">
      <c r="B100" s="23">
        <f t="shared" si="3"/>
        <v>98</v>
      </c>
      <c r="C100" s="24">
        <f t="shared" ca="1" si="2"/>
        <v>43406</v>
      </c>
      <c r="D100" s="23"/>
    </row>
    <row r="101" spans="2:4" x14ac:dyDescent="0.25">
      <c r="B101" s="23">
        <f t="shared" si="3"/>
        <v>99</v>
      </c>
      <c r="C101" s="24">
        <f ca="1">C102-1</f>
        <v>43407</v>
      </c>
      <c r="D101" s="23"/>
    </row>
    <row r="102" spans="2:4" x14ac:dyDescent="0.25">
      <c r="B102" s="23">
        <f t="shared" si="3"/>
        <v>100</v>
      </c>
      <c r="C102" s="24">
        <f ca="1">TODAY()</f>
        <v>43408</v>
      </c>
      <c r="D102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1"/>
  <sheetViews>
    <sheetView showGridLines="0" topLeftCell="H1" workbookViewId="0">
      <selection activeCell="X1" sqref="X1"/>
    </sheetView>
  </sheetViews>
  <sheetFormatPr defaultRowHeight="15" x14ac:dyDescent="0.25"/>
  <cols>
    <col min="1" max="1" width="15.7109375" customWidth="1"/>
    <col min="2" max="2" width="0.85546875" customWidth="1"/>
    <col min="3" max="3" width="15.7109375" customWidth="1"/>
    <col min="4" max="4" width="0.85546875" customWidth="1"/>
    <col min="5" max="5" width="15.7109375" customWidth="1"/>
    <col min="6" max="6" width="0.85546875" customWidth="1"/>
    <col min="7" max="7" width="15.7109375" customWidth="1"/>
    <col min="8" max="8" width="0.85546875" customWidth="1"/>
    <col min="9" max="9" width="15.7109375" customWidth="1"/>
    <col min="10" max="10" width="0.85546875" customWidth="1"/>
    <col min="11" max="11" width="15.7109375" customWidth="1"/>
    <col min="12" max="12" width="0.85546875" customWidth="1"/>
    <col min="13" max="13" width="15.7109375" customWidth="1"/>
    <col min="14" max="14" width="0.85546875" customWidth="1"/>
    <col min="15" max="17" width="15.7109375" customWidth="1"/>
    <col min="18" max="18" width="0.85546875" customWidth="1"/>
    <col min="19" max="19" width="12.7109375" customWidth="1"/>
    <col min="20" max="20" width="25.7109375" customWidth="1"/>
    <col min="21" max="21" width="0.85546875" customWidth="1"/>
    <col min="22" max="22" width="25.7109375" customWidth="1"/>
    <col min="23" max="23" width="0.85546875" customWidth="1"/>
  </cols>
  <sheetData>
    <row r="1" spans="1:24" x14ac:dyDescent="0.25">
      <c r="A1" s="1" t="s">
        <v>1</v>
      </c>
      <c r="B1" s="1"/>
      <c r="C1" s="1" t="s">
        <v>0</v>
      </c>
      <c r="D1" s="1"/>
      <c r="E1" s="1" t="s">
        <v>6</v>
      </c>
      <c r="G1" s="1" t="s">
        <v>8</v>
      </c>
      <c r="I1" t="s">
        <v>25</v>
      </c>
      <c r="K1" t="s">
        <v>7</v>
      </c>
      <c r="M1" s="1" t="s">
        <v>11</v>
      </c>
      <c r="O1" t="s">
        <v>1</v>
      </c>
      <c r="P1" t="s">
        <v>2</v>
      </c>
      <c r="Q1" t="s">
        <v>51</v>
      </c>
      <c r="S1" t="s">
        <v>7</v>
      </c>
      <c r="T1" t="s">
        <v>55</v>
      </c>
      <c r="V1" t="s">
        <v>73</v>
      </c>
      <c r="X1" t="str">
        <f>V2&amp;"; "&amp;V3&amp;"; "&amp;V4&amp;"; "&amp;V5&amp;"; "&amp;V6</f>
        <v xml:space="preserve">shyam.dragon89@gmail.com; itsupport@comnet.org.in; ; ; </v>
      </c>
    </row>
    <row r="2" spans="1:24" x14ac:dyDescent="0.25">
      <c r="A2" t="s">
        <v>0</v>
      </c>
      <c r="C2" t="s">
        <v>15</v>
      </c>
      <c r="E2" t="s">
        <v>4</v>
      </c>
      <c r="G2" t="s">
        <v>43</v>
      </c>
      <c r="I2" t="s">
        <v>38</v>
      </c>
      <c r="K2" t="s">
        <v>33</v>
      </c>
      <c r="M2" t="s">
        <v>27</v>
      </c>
      <c r="O2" t="s">
        <v>0</v>
      </c>
      <c r="P2" t="s">
        <v>15</v>
      </c>
      <c r="Q2" s="8">
        <v>4.1666666666666664E-2</v>
      </c>
      <c r="S2" t="s">
        <v>33</v>
      </c>
      <c r="T2" t="s">
        <v>56</v>
      </c>
      <c r="U2" s="8"/>
      <c r="V2" s="41" t="s">
        <v>74</v>
      </c>
      <c r="W2" s="41"/>
    </row>
    <row r="3" spans="1:24" x14ac:dyDescent="0.25">
      <c r="A3" t="s">
        <v>6</v>
      </c>
      <c r="C3" t="s">
        <v>16</v>
      </c>
      <c r="E3" t="s">
        <v>5</v>
      </c>
      <c r="G3" t="s">
        <v>44</v>
      </c>
      <c r="I3" t="s">
        <v>39</v>
      </c>
      <c r="K3" t="s">
        <v>34</v>
      </c>
      <c r="M3" t="s">
        <v>28</v>
      </c>
      <c r="O3" t="s">
        <v>0</v>
      </c>
      <c r="P3" t="s">
        <v>16</v>
      </c>
      <c r="Q3" s="8">
        <v>4.1666666666666664E-2</v>
      </c>
      <c r="S3" t="s">
        <v>34</v>
      </c>
      <c r="T3" t="s">
        <v>56</v>
      </c>
      <c r="V3" s="41" t="s">
        <v>56</v>
      </c>
      <c r="W3" s="41"/>
    </row>
    <row r="4" spans="1:24" x14ac:dyDescent="0.25">
      <c r="C4" t="s">
        <v>17</v>
      </c>
      <c r="E4" t="s">
        <v>57</v>
      </c>
      <c r="G4" t="s">
        <v>45</v>
      </c>
      <c r="I4" t="s">
        <v>40</v>
      </c>
      <c r="K4" t="s">
        <v>35</v>
      </c>
      <c r="M4" t="s">
        <v>29</v>
      </c>
      <c r="O4" t="s">
        <v>0</v>
      </c>
      <c r="P4" t="s">
        <v>17</v>
      </c>
      <c r="Q4" s="8">
        <v>4.1666666666666664E-2</v>
      </c>
      <c r="S4" t="s">
        <v>35</v>
      </c>
      <c r="T4" t="s">
        <v>56</v>
      </c>
      <c r="U4" s="3"/>
      <c r="V4" s="3"/>
      <c r="W4" s="3"/>
    </row>
    <row r="5" spans="1:24" x14ac:dyDescent="0.25">
      <c r="C5" t="s">
        <v>18</v>
      </c>
      <c r="E5" t="s">
        <v>3</v>
      </c>
      <c r="G5" t="s">
        <v>46</v>
      </c>
      <c r="I5" t="s">
        <v>41</v>
      </c>
      <c r="K5" t="s">
        <v>36</v>
      </c>
      <c r="M5" t="s">
        <v>30</v>
      </c>
      <c r="O5" t="s">
        <v>0</v>
      </c>
      <c r="P5" t="s">
        <v>18</v>
      </c>
      <c r="Q5" s="8">
        <v>4.1666666666666664E-2</v>
      </c>
      <c r="S5" t="s">
        <v>36</v>
      </c>
      <c r="T5" t="s">
        <v>56</v>
      </c>
    </row>
    <row r="6" spans="1:24" x14ac:dyDescent="0.25">
      <c r="C6" t="s">
        <v>19</v>
      </c>
      <c r="E6" t="s">
        <v>58</v>
      </c>
      <c r="G6" t="s">
        <v>47</v>
      </c>
      <c r="I6" t="s">
        <v>42</v>
      </c>
      <c r="K6" t="s">
        <v>37</v>
      </c>
      <c r="M6" t="s">
        <v>31</v>
      </c>
      <c r="O6" t="s">
        <v>0</v>
      </c>
      <c r="P6" t="s">
        <v>19</v>
      </c>
      <c r="Q6" s="8">
        <v>4.1666666666666664E-2</v>
      </c>
      <c r="S6" t="s">
        <v>37</v>
      </c>
      <c r="T6" t="s">
        <v>56</v>
      </c>
    </row>
    <row r="7" spans="1:24" x14ac:dyDescent="0.25">
      <c r="O7" t="s">
        <v>6</v>
      </c>
      <c r="P7" t="s">
        <v>20</v>
      </c>
      <c r="Q7" s="8">
        <v>1</v>
      </c>
    </row>
    <row r="8" spans="1:24" x14ac:dyDescent="0.25">
      <c r="O8" t="s">
        <v>6</v>
      </c>
      <c r="P8" t="s">
        <v>21</v>
      </c>
      <c r="Q8" s="8">
        <v>2</v>
      </c>
    </row>
    <row r="9" spans="1:24" x14ac:dyDescent="0.25">
      <c r="O9" t="s">
        <v>6</v>
      </c>
      <c r="P9" t="s">
        <v>22</v>
      </c>
      <c r="Q9" s="8">
        <v>3</v>
      </c>
    </row>
    <row r="10" spans="1:24" x14ac:dyDescent="0.25">
      <c r="O10" t="s">
        <v>6</v>
      </c>
      <c r="P10" t="s">
        <v>23</v>
      </c>
      <c r="Q10" s="8">
        <v>1</v>
      </c>
    </row>
    <row r="11" spans="1:24" x14ac:dyDescent="0.25">
      <c r="O11" t="s">
        <v>6</v>
      </c>
      <c r="P11" t="s">
        <v>24</v>
      </c>
      <c r="Q11" s="8">
        <v>2</v>
      </c>
    </row>
  </sheetData>
  <hyperlinks>
    <hyperlink ref="V2" r:id="rId1" xr:uid="{A22534B5-A32E-4479-B951-482E398D3DC9}"/>
    <hyperlink ref="V3" r:id="rId2" xr:uid="{AB992E66-1F07-403F-A9CF-F847F8750132}"/>
  </hyperlinks>
  <pageMargins left="0.7" right="0.7" top="0.75" bottom="0.75" header="0.3" footer="0.3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5"/>
  <sheetViews>
    <sheetView showGridLines="0" showRowColHeaders="0" tabSelected="1" workbookViewId="0">
      <selection activeCell="D8" sqref="D8"/>
    </sheetView>
  </sheetViews>
  <sheetFormatPr defaultRowHeight="15" x14ac:dyDescent="0.25"/>
  <cols>
    <col min="1" max="1" width="0.85546875" style="6" customWidth="1"/>
    <col min="2" max="2" width="10.7109375" style="6" bestFit="1" customWidth="1"/>
    <col min="3" max="4" width="15.7109375" style="6" customWidth="1"/>
    <col min="5" max="5" width="0.85546875" style="6" customWidth="1"/>
    <col min="6" max="7" width="15.7109375" style="6" customWidth="1"/>
    <col min="8" max="8" width="0.85546875" style="6" customWidth="1"/>
    <col min="9" max="10" width="15.7109375" style="6" customWidth="1"/>
    <col min="11" max="11" width="0.85546875" style="6" customWidth="1"/>
    <col min="12" max="13" width="15.7109375" style="6" customWidth="1"/>
    <col min="14" max="14" width="0.85546875" style="6" customWidth="1"/>
    <col min="15" max="15" width="15.7109375" style="6" customWidth="1"/>
    <col min="16" max="16" width="16.28515625" style="6" customWidth="1"/>
    <col min="17" max="17" width="17.7109375" style="6" customWidth="1"/>
    <col min="18" max="16384" width="9.140625" style="6"/>
  </cols>
  <sheetData>
    <row r="1" spans="2:16" ht="5.0999999999999996" customHeight="1" x14ac:dyDescent="0.25"/>
    <row r="5" spans="2:16" ht="5.0999999999999996" customHeight="1" thickBot="1" x14ac:dyDescent="0.3"/>
    <row r="6" spans="2:16" ht="15.75" thickBot="1" x14ac:dyDescent="0.3">
      <c r="B6" s="25" t="s">
        <v>64</v>
      </c>
      <c r="C6" s="11" t="s">
        <v>50</v>
      </c>
      <c r="D6" s="10" t="str">
        <f ca="1">IF(D8="","",VALUE(TEXT(TODAY(),"DDMMYY")&amp;MAX(Data[[#All],[1]])+1))</f>
        <v/>
      </c>
      <c r="F6" s="12" t="s">
        <v>48</v>
      </c>
      <c r="G6" s="18"/>
      <c r="I6" s="12" t="s">
        <v>1</v>
      </c>
      <c r="J6" s="18"/>
      <c r="L6" s="12" t="s">
        <v>10</v>
      </c>
      <c r="M6" s="43" t="str">
        <f ca="1">IF(D6="","",NOW())</f>
        <v/>
      </c>
      <c r="O6" s="28" t="s">
        <v>32</v>
      </c>
      <c r="P6" s="31"/>
    </row>
    <row r="7" spans="2:16" ht="5.0999999999999996" customHeight="1" thickBot="1" x14ac:dyDescent="0.3">
      <c r="B7" s="26"/>
      <c r="F7" s="7"/>
      <c r="I7" s="7"/>
      <c r="L7" s="5"/>
      <c r="M7" s="9"/>
      <c r="O7" s="29"/>
      <c r="P7" s="32"/>
    </row>
    <row r="8" spans="2:16" ht="15" customHeight="1" thickBot="1" x14ac:dyDescent="0.3">
      <c r="B8" s="26"/>
      <c r="C8" s="11" t="s">
        <v>8</v>
      </c>
      <c r="D8" s="18"/>
      <c r="F8" s="12" t="s">
        <v>9</v>
      </c>
      <c r="G8" s="18"/>
      <c r="I8" s="12" t="s">
        <v>2</v>
      </c>
      <c r="J8" s="18"/>
      <c r="L8" s="12" t="s">
        <v>54</v>
      </c>
      <c r="M8" s="44" t="str">
        <f>IF(COUNTIFS(Data[[#All],[Category]],"Issue",Data[[#All],[Workstation]],G6)=0,"",COUNTIFS(Data[[#All],[Category]],"Issue",Data[[#All],[Workstation]],G6))</f>
        <v/>
      </c>
      <c r="O8" s="29"/>
      <c r="P8" s="32"/>
    </row>
    <row r="9" spans="2:16" ht="5.0999999999999996" customHeight="1" thickBot="1" x14ac:dyDescent="0.3">
      <c r="B9" s="26"/>
      <c r="F9" s="7"/>
      <c r="O9" s="29"/>
      <c r="P9" s="32"/>
    </row>
    <row r="10" spans="2:16" ht="15" customHeight="1" thickBot="1" x14ac:dyDescent="0.3">
      <c r="B10" s="27"/>
      <c r="C10" s="11" t="s">
        <v>25</v>
      </c>
      <c r="D10" s="18"/>
      <c r="F10" s="12" t="s">
        <v>7</v>
      </c>
      <c r="G10" s="18"/>
      <c r="I10" s="12" t="s">
        <v>11</v>
      </c>
      <c r="J10" s="18"/>
      <c r="L10" s="12" t="s">
        <v>13</v>
      </c>
      <c r="M10" s="18"/>
      <c r="O10" s="30"/>
      <c r="P10" s="33"/>
    </row>
    <row r="11" spans="2:16" ht="3.95" customHeight="1" x14ac:dyDescent="0.25">
      <c r="C11" s="13" t="str">
        <f>IFERROR(VLOOKUP(G10,MailIndex[#All],2,0),"")</f>
        <v/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</row>
    <row r="12" spans="2:16" ht="3.95" customHeight="1" x14ac:dyDescent="0.25">
      <c r="B12" s="7"/>
      <c r="C12" s="13" t="str">
        <f ca="1">IF(D6=0,"",D6)</f>
        <v/>
      </c>
      <c r="D12" s="13" t="str">
        <f>IF(D8=0,"",D8)</f>
        <v/>
      </c>
      <c r="E12" s="13" t="str">
        <f>IF(D10="","",D10)</f>
        <v/>
      </c>
      <c r="F12" s="13" t="str">
        <f>IF(G6="","",G6)</f>
        <v/>
      </c>
      <c r="G12" s="13" t="str">
        <f>IF(G8="","",G8)</f>
        <v/>
      </c>
      <c r="H12" s="13" t="str">
        <f>IF(G10="","",G10)</f>
        <v/>
      </c>
      <c r="I12" s="13" t="str">
        <f>IF(J6="","",J6)</f>
        <v/>
      </c>
      <c r="J12" s="13" t="str">
        <f>IF(J8="","",J8)</f>
        <v/>
      </c>
      <c r="K12" s="13" t="str">
        <f>IF(J10="","",J10)</f>
        <v/>
      </c>
      <c r="L12" s="14" t="str">
        <f ca="1">IF(M6="","",M6)</f>
        <v/>
      </c>
      <c r="M12" s="14"/>
      <c r="N12" s="13" t="str">
        <f>IF(P6="","",P6)</f>
        <v/>
      </c>
      <c r="O12" s="14" t="str">
        <f>IF(M10="","",M10)</f>
        <v/>
      </c>
      <c r="P12" s="13">
        <f ca="1">COUNTBLANK(D12:O12)-1</f>
        <v>11</v>
      </c>
    </row>
    <row r="13" spans="2:16" ht="3.95" customHeight="1" x14ac:dyDescent="0.25"/>
    <row r="14" spans="2:16" ht="3.95" customHeight="1" thickBot="1" x14ac:dyDescent="0.3"/>
    <row r="15" spans="2:16" ht="15.75" thickBot="1" x14ac:dyDescent="0.3">
      <c r="B15" s="25" t="s">
        <v>63</v>
      </c>
      <c r="C15" s="11" t="s">
        <v>50</v>
      </c>
      <c r="D15" s="16"/>
      <c r="F15" s="12" t="s">
        <v>48</v>
      </c>
      <c r="G15" s="18" t="str">
        <f>IFERROR(VLOOKUP(D15,Data[[#All],[Ticket '#]:[TAT Status]],4,0),"")</f>
        <v/>
      </c>
      <c r="I15" s="12" t="s">
        <v>1</v>
      </c>
      <c r="J15" s="18" t="str">
        <f>IFERROR(VLOOKUP(D15,Data[[#All],[Ticket '#]:[TAT Status]],7,0),"")</f>
        <v/>
      </c>
      <c r="L15" s="12" t="s">
        <v>10</v>
      </c>
      <c r="M15" s="19" t="str">
        <f>IFERROR(VLOOKUP(D15,Data[[#All],[Ticket '#]:[TAT Status]],10,0),"")</f>
        <v/>
      </c>
      <c r="O15" s="28" t="s">
        <v>32</v>
      </c>
      <c r="P15" s="31" t="str">
        <f>IFERROR(VLOOKUP(D15,Data[[#All],[Ticket '#]:[TAT Status]],12,0),"")</f>
        <v/>
      </c>
    </row>
    <row r="16" spans="2:16" ht="5.0999999999999996" customHeight="1" thickBot="1" x14ac:dyDescent="0.3">
      <c r="B16" s="26"/>
      <c r="F16" s="7"/>
      <c r="I16" s="7"/>
      <c r="L16" s="5"/>
      <c r="M16" s="9"/>
      <c r="O16" s="29"/>
      <c r="P16" s="32"/>
    </row>
    <row r="17" spans="1:17" ht="15.75" thickBot="1" x14ac:dyDescent="0.3">
      <c r="B17" s="26"/>
      <c r="C17" s="11" t="s">
        <v>8</v>
      </c>
      <c r="D17" s="18" t="str">
        <f>IFERROR(VLOOKUP(D15,Data[[#All],[Ticket '#]:[TAT Status]],2,0),"")</f>
        <v/>
      </c>
      <c r="F17" s="12" t="s">
        <v>9</v>
      </c>
      <c r="G17" s="18" t="str">
        <f>IFERROR(VLOOKUP(D15,Data[[#All],[Ticket '#]:[TAT Status]],5,0),"")</f>
        <v/>
      </c>
      <c r="I17" s="12" t="s">
        <v>2</v>
      </c>
      <c r="J17" s="18" t="str">
        <f>IFERROR(VLOOKUP(D15,Data[[#All],[Ticket '#]:[TAT Status]],8,0),"")</f>
        <v/>
      </c>
      <c r="L17" s="12" t="s">
        <v>54</v>
      </c>
      <c r="M17" s="44" t="str">
        <f>IF(COUNTIFS(Data[[#All],[Category]],"Issue",Data[[#All],[Workstation]],G15)=0,"",COUNTIFS(Data[[#All],[Category]],"Issue",Data[[#All],[Workstation]],G15))</f>
        <v/>
      </c>
      <c r="O17" s="29"/>
      <c r="P17" s="32"/>
    </row>
    <row r="18" spans="1:17" ht="5.0999999999999996" customHeight="1" thickBot="1" x14ac:dyDescent="0.3">
      <c r="B18" s="26"/>
      <c r="F18" s="7"/>
      <c r="O18" s="29"/>
      <c r="P18" s="32"/>
    </row>
    <row r="19" spans="1:17" ht="15.75" thickBot="1" x14ac:dyDescent="0.3">
      <c r="B19" s="27"/>
      <c r="C19" s="11" t="s">
        <v>25</v>
      </c>
      <c r="D19" s="18" t="str">
        <f>IFERROR(VLOOKUP(D15,Data[[#All],[Ticket '#]:[TAT Status]],3,0),"")</f>
        <v/>
      </c>
      <c r="F19" s="12" t="s">
        <v>7</v>
      </c>
      <c r="G19" s="18" t="str">
        <f>IFERROR(VLOOKUP(D15,Data[[#All],[Ticket '#]:[TAT Status]],6,0),"")</f>
        <v/>
      </c>
      <c r="I19" s="12" t="s">
        <v>11</v>
      </c>
      <c r="J19" s="18" t="str">
        <f>IFERROR(VLOOKUP(D15,Data[[#All],[Ticket '#]:[TAT Status]],9,0),"")</f>
        <v/>
      </c>
      <c r="L19" s="12" t="s">
        <v>13</v>
      </c>
      <c r="M19" s="18" t="str">
        <f>IFERROR(VLOOKUP(D15,Data[[#All],[Ticket '#]:[TAT Status]],13,0),"")</f>
        <v/>
      </c>
      <c r="O19" s="30"/>
      <c r="P19" s="33"/>
    </row>
    <row r="20" spans="1:17" ht="2.4500000000000002" customHeight="1" x14ac:dyDescent="0.25">
      <c r="C20" s="13" t="str">
        <f>IFERROR(VLOOKUP(G19,MailIndex[#All],2,0),"")</f>
        <v/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7" ht="2.4500000000000002" customHeight="1" thickBot="1" x14ac:dyDescent="0.3">
      <c r="C21" s="13" t="str">
        <f>IF(D15=0,"",D15)</f>
        <v/>
      </c>
      <c r="D21" s="13" t="str">
        <f>IF(D17=0,"",D17)</f>
        <v/>
      </c>
      <c r="E21" s="13" t="str">
        <f>IF(D19="","",D19)</f>
        <v/>
      </c>
      <c r="F21" s="13" t="str">
        <f>IF(G15="","",G15)</f>
        <v/>
      </c>
      <c r="G21" s="13" t="str">
        <f>IF(G17="","",G17)</f>
        <v/>
      </c>
      <c r="H21" s="13" t="str">
        <f>IF(G19="","",G19)</f>
        <v/>
      </c>
      <c r="I21" s="13" t="str">
        <f>IF(J15="","",J15)</f>
        <v/>
      </c>
      <c r="J21" s="13" t="str">
        <f>IF(J17="","",J17)</f>
        <v/>
      </c>
      <c r="K21" s="13" t="str">
        <f>IF(J19="","",J19)</f>
        <v/>
      </c>
      <c r="L21" s="14" t="str">
        <f>IF(M15="","",M15)</f>
        <v/>
      </c>
      <c r="M21" s="15">
        <f ca="1">NOW()</f>
        <v>43408.219396064815</v>
      </c>
      <c r="N21" s="13" t="str">
        <f>IF(P15="","",P15)</f>
        <v/>
      </c>
      <c r="O21" s="14" t="str">
        <f>IF(M19="","",M19)</f>
        <v/>
      </c>
      <c r="P21" s="13">
        <f ca="1">COUNTBLANK(D21:O21)-1</f>
        <v>10</v>
      </c>
    </row>
    <row r="22" spans="1:17" ht="15.75" customHeight="1" thickBot="1" x14ac:dyDescent="0.3">
      <c r="O22" s="37" t="s">
        <v>68</v>
      </c>
      <c r="P22" s="38"/>
      <c r="Q22" s="18" t="s">
        <v>62</v>
      </c>
    </row>
    <row r="23" spans="1:17" ht="5.0999999999999996" customHeight="1" x14ac:dyDescent="0.25"/>
    <row r="24" spans="1:17" x14ac:dyDescent="0.25">
      <c r="A24" s="13">
        <v>90</v>
      </c>
      <c r="B24" s="35" t="s">
        <v>60</v>
      </c>
      <c r="C24" s="35" t="s">
        <v>75</v>
      </c>
      <c r="D24" s="42" t="s">
        <v>76</v>
      </c>
      <c r="O24" s="40" t="s">
        <v>60</v>
      </c>
      <c r="P24" s="34" t="s">
        <v>50</v>
      </c>
      <c r="Q24" s="34" t="s">
        <v>1</v>
      </c>
    </row>
    <row r="25" spans="1:17" x14ac:dyDescent="0.25">
      <c r="A25" s="34">
        <f>IF(A24&gt;90,90,A24)</f>
        <v>90</v>
      </c>
      <c r="B25" s="36">
        <f ca="1">VLOOKUP(A25,Controls!$B$2:$C$102,2,0)</f>
        <v>43398</v>
      </c>
      <c r="C25" s="34">
        <f ca="1">COUNTIFS(Data[[#All],[Date]],B25)</f>
        <v>0</v>
      </c>
      <c r="D25" s="34">
        <f ca="1">C25-COUNTIFS(Data[[#All],[Date]],B25,Data[[#All],[Status]],"Closed")</f>
        <v>0</v>
      </c>
      <c r="O25" s="45">
        <v>43408.08704849537</v>
      </c>
      <c r="P25" s="17">
        <v>411184</v>
      </c>
      <c r="Q25" s="17" t="s">
        <v>15</v>
      </c>
    </row>
    <row r="26" spans="1:17" x14ac:dyDescent="0.25">
      <c r="A26" s="34">
        <f>A25+1</f>
        <v>91</v>
      </c>
      <c r="B26" s="36">
        <f ca="1">VLOOKUP(A26,Controls!$B$2:$C$102,2,0)</f>
        <v>43399</v>
      </c>
      <c r="C26" s="34">
        <f ca="1">COUNTIFS(Data[[#All],[Date]],B26)</f>
        <v>0</v>
      </c>
      <c r="D26" s="34">
        <f ca="1">C26-COUNTIFS(Data[[#All],[Date]],B26,Data[[#All],[Status]],"Closed")</f>
        <v>0</v>
      </c>
      <c r="O26" s="45"/>
      <c r="P26" s="17"/>
      <c r="Q26" s="17"/>
    </row>
    <row r="27" spans="1:17" x14ac:dyDescent="0.25">
      <c r="A27" s="34">
        <f t="shared" ref="A27:A35" si="0">A26+1</f>
        <v>92</v>
      </c>
      <c r="B27" s="36">
        <f ca="1">VLOOKUP(A27,Controls!$B$2:$C$102,2,0)</f>
        <v>43400</v>
      </c>
      <c r="C27" s="34">
        <f ca="1">COUNTIFS(Data[[#All],[Date]],B27)</f>
        <v>1</v>
      </c>
      <c r="D27" s="34">
        <f ca="1">C27-COUNTIFS(Data[[#All],[Date]],B27,Data[[#All],[Status]],"Closed")</f>
        <v>0</v>
      </c>
      <c r="O27" s="45"/>
      <c r="P27" s="17"/>
      <c r="Q27" s="17"/>
    </row>
    <row r="28" spans="1:17" x14ac:dyDescent="0.25">
      <c r="A28" s="34">
        <f t="shared" si="0"/>
        <v>93</v>
      </c>
      <c r="B28" s="36">
        <f ca="1">VLOOKUP(A28,Controls!$B$2:$C$102,2,0)</f>
        <v>43401</v>
      </c>
      <c r="C28" s="34">
        <f ca="1">COUNTIFS(Data[[#All],[Date]],B28)</f>
        <v>0</v>
      </c>
      <c r="D28" s="34">
        <f ca="1">C28-COUNTIFS(Data[[#All],[Date]],B28,Data[[#All],[Status]],"Closed")</f>
        <v>0</v>
      </c>
      <c r="O28" s="45"/>
      <c r="P28" s="17"/>
      <c r="Q28" s="17"/>
    </row>
    <row r="29" spans="1:17" x14ac:dyDescent="0.25">
      <c r="A29" s="34">
        <f t="shared" si="0"/>
        <v>94</v>
      </c>
      <c r="B29" s="36">
        <f ca="1">VLOOKUP(A29,Controls!$B$2:$C$102,2,0)</f>
        <v>43402</v>
      </c>
      <c r="C29" s="34">
        <f ca="1">COUNTIFS(Data[[#All],[Date]],B29)</f>
        <v>0</v>
      </c>
      <c r="D29" s="34">
        <f ca="1">C29-COUNTIFS(Data[[#All],[Date]],B29,Data[[#All],[Status]],"Closed")</f>
        <v>0</v>
      </c>
      <c r="O29" s="45"/>
      <c r="P29" s="17"/>
      <c r="Q29" s="17"/>
    </row>
    <row r="30" spans="1:17" x14ac:dyDescent="0.25">
      <c r="A30" s="34">
        <f t="shared" si="0"/>
        <v>95</v>
      </c>
      <c r="B30" s="36">
        <f ca="1">VLOOKUP(A30,Controls!$B$2:$C$102,2,0)</f>
        <v>43403</v>
      </c>
      <c r="C30" s="34">
        <f ca="1">COUNTIFS(Data[[#All],[Date]],B30)</f>
        <v>0</v>
      </c>
      <c r="D30" s="34">
        <f ca="1">C30-COUNTIFS(Data[[#All],[Date]],B30,Data[[#All],[Status]],"Closed")</f>
        <v>0</v>
      </c>
      <c r="O30" s="45"/>
      <c r="P30" s="17"/>
      <c r="Q30" s="17"/>
    </row>
    <row r="31" spans="1:17" x14ac:dyDescent="0.25">
      <c r="A31" s="34">
        <f t="shared" si="0"/>
        <v>96</v>
      </c>
      <c r="B31" s="36">
        <f ca="1">VLOOKUP(A31,Controls!$B$2:$C$102,2,0)</f>
        <v>43404</v>
      </c>
      <c r="C31" s="34">
        <f ca="1">COUNTIFS(Data[[#All],[Date]],B31)</f>
        <v>0</v>
      </c>
      <c r="D31" s="34">
        <f ca="1">C31-COUNTIFS(Data[[#All],[Date]],B31,Data[[#All],[Status]],"Closed")</f>
        <v>0</v>
      </c>
      <c r="O31" s="45"/>
      <c r="P31" s="17"/>
      <c r="Q31" s="17"/>
    </row>
    <row r="32" spans="1:17" x14ac:dyDescent="0.25">
      <c r="A32" s="34">
        <f t="shared" si="0"/>
        <v>97</v>
      </c>
      <c r="B32" s="36">
        <f ca="1">VLOOKUP(A32,Controls!$B$2:$C$102,2,0)</f>
        <v>43405</v>
      </c>
      <c r="C32" s="34">
        <f ca="1">COUNTIFS(Data[[#All],[Date]],B32)</f>
        <v>0</v>
      </c>
      <c r="D32" s="34">
        <f ca="1">C32-COUNTIFS(Data[[#All],[Date]],B32,Data[[#All],[Status]],"Closed")</f>
        <v>0</v>
      </c>
      <c r="O32" s="45"/>
      <c r="P32" s="17"/>
      <c r="Q32" s="17"/>
    </row>
    <row r="33" spans="1:17" x14ac:dyDescent="0.25">
      <c r="A33" s="34">
        <f t="shared" si="0"/>
        <v>98</v>
      </c>
      <c r="B33" s="36">
        <f ca="1">VLOOKUP(A33,Controls!$B$2:$C$102,2,0)</f>
        <v>43406</v>
      </c>
      <c r="C33" s="34">
        <f ca="1">COUNTIFS(Data[[#All],[Date]],B33)</f>
        <v>0</v>
      </c>
      <c r="D33" s="34">
        <f ca="1">C33-COUNTIFS(Data[[#All],[Date]],B33,Data[[#All],[Status]],"Closed")</f>
        <v>0</v>
      </c>
      <c r="O33" s="45"/>
      <c r="P33" s="17"/>
      <c r="Q33" s="17"/>
    </row>
    <row r="34" spans="1:17" x14ac:dyDescent="0.25">
      <c r="A34" s="34">
        <f t="shared" si="0"/>
        <v>99</v>
      </c>
      <c r="B34" s="36">
        <f ca="1">VLOOKUP(A34,Controls!$B$2:$C$102,2,0)</f>
        <v>43407</v>
      </c>
      <c r="C34" s="34">
        <f ca="1">COUNTIFS(Data[[#All],[Date]],B34)</f>
        <v>0</v>
      </c>
      <c r="D34" s="34">
        <f ca="1">C34-COUNTIFS(Data[[#All],[Date]],B34,Data[[#All],[Status]],"Closed")</f>
        <v>0</v>
      </c>
      <c r="O34" s="45"/>
      <c r="P34" s="17"/>
      <c r="Q34" s="17"/>
    </row>
    <row r="35" spans="1:17" x14ac:dyDescent="0.25">
      <c r="A35" s="34">
        <f t="shared" si="0"/>
        <v>100</v>
      </c>
      <c r="B35" s="36">
        <f ca="1">VLOOKUP(A35,Controls!$B$2:$C$102,2,0)</f>
        <v>43408</v>
      </c>
      <c r="C35" s="34">
        <f ca="1">COUNTIFS(Data[[#All],[Date]],B35)</f>
        <v>3</v>
      </c>
      <c r="D35" s="34">
        <f ca="1">C35-COUNTIFS(Data[[#All],[Date]],B35,Data[[#All],[Status]],"Closed")</f>
        <v>1</v>
      </c>
    </row>
  </sheetData>
  <sheetProtection algorithmName="SHA-512" hashValue="gHtqUpNRpmzm22Po1aTIheJrNEeqSZcoXOUOA6/fYXjsXkamPThdzEAszTgCU9HwBdvYLXcNZpQuMFP0rUoV7Q==" saltValue="BL2/IhKQ2dd9zkLdDcNw0A==" spinCount="100000" sheet="1" selectLockedCells="1"/>
  <mergeCells count="7">
    <mergeCell ref="O22:P22"/>
    <mergeCell ref="B15:B19"/>
    <mergeCell ref="O15:O19"/>
    <mergeCell ref="P15:P19"/>
    <mergeCell ref="O6:O10"/>
    <mergeCell ref="B6:B10"/>
    <mergeCell ref="P6:P10"/>
  </mergeCells>
  <dataValidations count="6">
    <dataValidation type="list" allowBlank="1" showInputMessage="1" showErrorMessage="1" sqref="G10 G19" xr:uid="{00000000-0002-0000-0100-000000000000}">
      <formula1>INDIRECT($F$10)</formula1>
    </dataValidation>
    <dataValidation type="list" allowBlank="1" showInputMessage="1" showErrorMessage="1" sqref="J6 D10 D8 J15 D19 D17" xr:uid="{00000000-0002-0000-0100-000001000000}">
      <formula1>INDIRECT(C6)</formula1>
    </dataValidation>
    <dataValidation type="list" allowBlank="1" showInputMessage="1" showErrorMessage="1" sqref="J8 J17" xr:uid="{00000000-0002-0000-0100-000002000000}">
      <formula1>INDIRECT(J6)</formula1>
    </dataValidation>
    <dataValidation type="list" allowBlank="1" showInputMessage="1" showErrorMessage="1" sqref="J10 M7 J19 M16" xr:uid="{00000000-0002-0000-0100-000003000000}">
      <formula1>INDIRECT($I$10)</formula1>
    </dataValidation>
    <dataValidation type="list" allowBlank="1" showInputMessage="1" showErrorMessage="1" sqref="M10 M19" xr:uid="{00000000-0002-0000-0100-000004000000}">
      <formula1>"Closed,In Process,Hold"</formula1>
    </dataValidation>
    <dataValidation type="list" allowBlank="1" showInputMessage="1" showErrorMessage="1" sqref="Q22" xr:uid="{1C6388BB-898B-4055-A287-64AB8CA565C0}">
      <formula1>"In Process,Hold"</formula1>
    </dataValidation>
  </dataValidations>
  <pageMargins left="0.7" right="0.7" top="0.75" bottom="0.75" header="0.3" footer="0.3"/>
  <pageSetup orientation="portrait" r:id="rId1"/>
  <ignoredErrors>
    <ignoredError sqref="A1:XFD5 E26:N26 N19:O19 A20:XFD21 A19:C19 A36:XFD1048576 E34:N34 E33:N33 E31:N32 G24:N24 A23:XFD23 E22:N22 E27:N28 E25:N25 E29:N30 E35:XFD35 R24:XFD24 R22:XFD22 A16:C16 A15 C15 A7:O7 A6 C6 A9:O9 A8:C8 E8:F8 A11:XFD14 A10:C10 E10:F10 H6:I6 H8:I8 H10:I10 K6:O6 K8:O8 K10:L10 N10:O10 Q6:XFD6 Q7:XFD7 Q9:XFD9 Q8:XFD8 Q10:XFD10 R26:XFD26 R34:XFD34 R33:XFD33 R31:XFD32 R27:XFD28 R25:XFD25 R29:XFD30 E6:F6 A18:C18 A17:C17 N17:O17 N15:O15 Q15:XFD15 N16:O16 N18:O18 Q19:XFD19 Q17:XFD17 Q16:XFD16 Q18:XFD18" unlockedFormula="1"/>
  </ignoredErrors>
  <drawing r:id="rId2"/>
  <legacyDrawing r:id="rId3"/>
  <controls>
    <mc:AlternateContent xmlns:mc="http://schemas.openxmlformats.org/markup-compatibility/2006">
      <mc:Choice Requires="x14">
        <control shapeId="2066" r:id="rId4" name="ScrollBar1">
          <controlPr defaultSize="0" autoFill="0" autoLine="0" linkedCell="A24" r:id="rId5">
            <anchor moveWithCells="1">
              <from>
                <xdr:col>0</xdr:col>
                <xdr:colOff>47625</xdr:colOff>
                <xdr:row>34</xdr:row>
                <xdr:rowOff>9525</xdr:rowOff>
              </from>
              <to>
                <xdr:col>13</xdr:col>
                <xdr:colOff>0</xdr:colOff>
                <xdr:row>35</xdr:row>
                <xdr:rowOff>9525</xdr:rowOff>
              </to>
            </anchor>
          </controlPr>
        </control>
      </mc:Choice>
      <mc:Fallback>
        <control shapeId="2066" r:id="rId4" name="ScrollBar1"/>
      </mc:Fallback>
    </mc:AlternateContent>
    <mc:AlternateContent xmlns:mc="http://schemas.openxmlformats.org/markup-compatibility/2006">
      <mc:Choice Requires="x14">
        <control shapeId="2051" r:id="rId6" name="Button 3">
          <controlPr defaultSize="0" print="0" autoFill="0" autoPict="0" macro="[0]!SubmitData">
            <anchor moveWithCells="1" sizeWithCells="1">
              <from>
                <xdr:col>16</xdr:col>
                <xdr:colOff>38100</xdr:colOff>
                <xdr:row>6</xdr:row>
                <xdr:rowOff>0</xdr:rowOff>
              </from>
              <to>
                <xdr:col>16</xdr:col>
                <xdr:colOff>1114425</xdr:colOff>
                <xdr:row>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7" name="Button 5">
          <controlPr defaultSize="0" print="0" autoFill="0" autoPict="0" macro="[0]!UpdateData">
            <anchor moveWithCells="1" sizeWithCells="1">
              <from>
                <xdr:col>16</xdr:col>
                <xdr:colOff>38100</xdr:colOff>
                <xdr:row>16</xdr:row>
                <xdr:rowOff>190500</xdr:rowOff>
              </from>
              <to>
                <xdr:col>16</xdr:col>
                <xdr:colOff>1114425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" name="Button 14">
          <controlPr defaultSize="0" print="0" autoFill="0" autoPict="0" macro="[0]!_xludf.Search">
            <anchor moveWithCells="1" sizeWithCells="1">
              <from>
                <xdr:col>16</xdr:col>
                <xdr:colOff>38100</xdr:colOff>
                <xdr:row>13</xdr:row>
                <xdr:rowOff>19050</xdr:rowOff>
              </from>
              <to>
                <xdr:col>16</xdr:col>
                <xdr:colOff>1114425</xdr:colOff>
                <xdr:row>15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9" name="Button 32">
          <controlPr defaultSize="0" print="0" autoFill="0" autoPict="0" macro="[0]!StatusMailer">
            <anchor moveWithCells="1" sizeWithCells="1">
              <from>
                <xdr:col>16</xdr:col>
                <xdr:colOff>47625</xdr:colOff>
                <xdr:row>1</xdr:row>
                <xdr:rowOff>152400</xdr:rowOff>
              </from>
              <to>
                <xdr:col>16</xdr:col>
                <xdr:colOff>1123950</xdr:colOff>
                <xdr:row>3</xdr:row>
                <xdr:rowOff>38100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5"/>
  <sheetViews>
    <sheetView showGridLines="0" zoomScaleNormal="100" workbookViewId="0">
      <selection activeCell="B6" sqref="B6"/>
    </sheetView>
  </sheetViews>
  <sheetFormatPr defaultRowHeight="15" x14ac:dyDescent="0.25"/>
  <cols>
    <col min="1" max="1" width="10.7109375" customWidth="1"/>
    <col min="2" max="2" width="15.5703125" bestFit="1" customWidth="1"/>
    <col min="3" max="14" width="10.7109375" customWidth="1"/>
    <col min="16" max="16" width="10.7109375" bestFit="1" customWidth="1"/>
  </cols>
  <sheetData>
    <row r="1" spans="1:16" x14ac:dyDescent="0.25">
      <c r="A1" s="39" t="s">
        <v>14</v>
      </c>
      <c r="B1" s="4" t="s">
        <v>50</v>
      </c>
      <c r="C1" s="4" t="s">
        <v>8</v>
      </c>
      <c r="D1" s="4" t="s">
        <v>25</v>
      </c>
      <c r="E1" s="4" t="s">
        <v>48</v>
      </c>
      <c r="F1" s="4" t="s">
        <v>9</v>
      </c>
      <c r="G1" s="4" t="s">
        <v>7</v>
      </c>
      <c r="H1" s="4" t="s">
        <v>1</v>
      </c>
      <c r="I1" s="4" t="s">
        <v>12</v>
      </c>
      <c r="J1" s="4" t="s">
        <v>11</v>
      </c>
      <c r="K1" s="21" t="s">
        <v>10</v>
      </c>
      <c r="L1" s="21" t="s">
        <v>26</v>
      </c>
      <c r="M1" s="4" t="s">
        <v>32</v>
      </c>
      <c r="N1" s="4" t="s">
        <v>13</v>
      </c>
      <c r="O1" s="4" t="s">
        <v>52</v>
      </c>
      <c r="P1" s="21" t="s">
        <v>60</v>
      </c>
    </row>
    <row r="2" spans="1:16" x14ac:dyDescent="0.25">
      <c r="A2" s="2">
        <f>A1+1</f>
        <v>2</v>
      </c>
      <c r="B2">
        <v>2810185</v>
      </c>
      <c r="C2" t="s">
        <v>43</v>
      </c>
      <c r="D2" t="s">
        <v>42</v>
      </c>
      <c r="E2">
        <v>1</v>
      </c>
      <c r="F2" t="s">
        <v>49</v>
      </c>
      <c r="G2" t="s">
        <v>33</v>
      </c>
      <c r="H2" t="s">
        <v>0</v>
      </c>
      <c r="I2" t="s">
        <v>16</v>
      </c>
      <c r="J2" t="s">
        <v>27</v>
      </c>
      <c r="K2" s="20">
        <v>43400.211805555555</v>
      </c>
      <c r="L2" s="20">
        <v>43401.792631481483</v>
      </c>
      <c r="M2" t="s">
        <v>53</v>
      </c>
      <c r="N2" t="s">
        <v>59</v>
      </c>
      <c r="P2" s="20">
        <f>VALUE(TEXT(Data[Assigned Time],"MM/DD/YYYY"))</f>
        <v>43400</v>
      </c>
    </row>
    <row r="3" spans="1:16" x14ac:dyDescent="0.25">
      <c r="A3" s="2">
        <f>A2+1</f>
        <v>3</v>
      </c>
      <c r="B3">
        <v>411183</v>
      </c>
      <c r="C3" t="s">
        <v>44</v>
      </c>
      <c r="D3" t="s">
        <v>40</v>
      </c>
      <c r="E3" t="s">
        <v>65</v>
      </c>
      <c r="F3" t="s">
        <v>66</v>
      </c>
      <c r="G3" t="s">
        <v>35</v>
      </c>
      <c r="H3" t="s">
        <v>0</v>
      </c>
      <c r="I3" t="s">
        <v>17</v>
      </c>
      <c r="J3" t="s">
        <v>28</v>
      </c>
      <c r="K3" s="20">
        <v>43408.030896990742</v>
      </c>
      <c r="L3" s="20">
        <v>43408.119421412041</v>
      </c>
      <c r="M3" t="s">
        <v>67</v>
      </c>
      <c r="N3" t="s">
        <v>59</v>
      </c>
      <c r="P3" s="20">
        <f>VALUE(TEXT(Data[Assigned Time],"MM/DD/YYYY"))</f>
        <v>43408</v>
      </c>
    </row>
    <row r="4" spans="1:16" x14ac:dyDescent="0.25">
      <c r="A4" s="2">
        <f>A3+1</f>
        <v>4</v>
      </c>
      <c r="B4">
        <v>411184</v>
      </c>
      <c r="C4" t="s">
        <v>45</v>
      </c>
      <c r="D4" t="s">
        <v>38</v>
      </c>
      <c r="E4" t="s">
        <v>69</v>
      </c>
      <c r="F4" t="s">
        <v>49</v>
      </c>
      <c r="G4" t="s">
        <v>36</v>
      </c>
      <c r="H4" t="s">
        <v>0</v>
      </c>
      <c r="I4" t="s">
        <v>15</v>
      </c>
      <c r="J4" t="s">
        <v>27</v>
      </c>
      <c r="K4" s="20">
        <v>43408.08704849537</v>
      </c>
      <c r="L4" s="20"/>
      <c r="M4" t="s">
        <v>70</v>
      </c>
      <c r="N4" t="s">
        <v>62</v>
      </c>
      <c r="P4" s="20">
        <f>VALUE(TEXT(Data[Assigned Time],"MM/DD/YYYY"))</f>
        <v>43408</v>
      </c>
    </row>
    <row r="5" spans="1:16" x14ac:dyDescent="0.25">
      <c r="A5" s="2">
        <f>A4+1</f>
        <v>5</v>
      </c>
      <c r="B5">
        <v>411185</v>
      </c>
      <c r="C5" t="s">
        <v>46</v>
      </c>
      <c r="D5" t="s">
        <v>41</v>
      </c>
      <c r="E5" t="s">
        <v>71</v>
      </c>
      <c r="F5" t="s">
        <v>72</v>
      </c>
      <c r="G5" t="s">
        <v>37</v>
      </c>
      <c r="H5" t="s">
        <v>0</v>
      </c>
      <c r="I5" t="s">
        <v>18</v>
      </c>
      <c r="J5" t="s">
        <v>30</v>
      </c>
      <c r="K5" s="20">
        <v>43408.095352662036</v>
      </c>
      <c r="L5" s="20">
        <v>43408.122435300924</v>
      </c>
      <c r="M5" t="s">
        <v>77</v>
      </c>
      <c r="N5" t="s">
        <v>59</v>
      </c>
      <c r="P5" s="20">
        <f>VALUE(TEXT(Data[Assigned Time],"MM/DD/YYYY"))</f>
        <v>43408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65DEFD-5091-4B70-8D9E-A1642392CFC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Setup</vt:lpstr>
      <vt:lpstr>Interface</vt:lpstr>
      <vt:lpstr>Data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 Shankar</cp:lastModifiedBy>
  <dcterms:created xsi:type="dcterms:W3CDTF">2018-04-15T15:44:36Z</dcterms:created>
  <dcterms:modified xsi:type="dcterms:W3CDTF">2018-11-03T23:45:55Z</dcterms:modified>
</cp:coreProperties>
</file>