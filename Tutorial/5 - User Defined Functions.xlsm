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esources\MS Excel\Excel VBA\Course Sessions\"/>
    </mc:Choice>
  </mc:AlternateContent>
  <xr:revisionPtr revIDLastSave="0" documentId="10_ncr:100000_{CB7F508C-FC3C-4218-8282-0C50D46AB521}" xr6:coauthVersionLast="31" xr6:coauthVersionMax="31" xr10:uidLastSave="{00000000-0000-0000-0000-000000000000}"/>
  <bookViews>
    <workbookView xWindow="120" yWindow="120" windowWidth="15480" windowHeight="9405" activeTab="1" xr2:uid="{00000000-000D-0000-FFFF-FFFF00000000}"/>
  </bookViews>
  <sheets>
    <sheet name="Sheet3" sheetId="3" r:id="rId1"/>
    <sheet name="Limit Check" sheetId="1" r:id="rId2"/>
    <sheet name="Tax" sheetId="2" r:id="rId3"/>
  </sheets>
  <functionGroups builtInGroupCount="19"/>
  <definedNames>
    <definedName name="_xlnm._FilterDatabase" localSheetId="1" hidden="1">'Limit Check'!$A$1:$D$32</definedName>
    <definedName name="Mylist">#REF!</definedName>
  </definedNames>
  <calcPr calcId="179017"/>
</workbook>
</file>

<file path=xl/calcChain.xml><?xml version="1.0" encoding="utf-8"?>
<calcChain xmlns="http://schemas.openxmlformats.org/spreadsheetml/2006/main">
  <c r="O4" i="2" l="1"/>
  <c r="O3" i="2"/>
  <c r="P3" i="2" s="1"/>
  <c r="K5" i="3"/>
  <c r="K7" i="3" s="1"/>
  <c r="A5" i="3"/>
  <c r="A6" i="3" s="1"/>
  <c r="D12" i="1"/>
  <c r="F2" i="2"/>
  <c r="B19" i="3"/>
  <c r="D23" i="1"/>
  <c r="D26" i="1"/>
  <c r="C14" i="3"/>
  <c r="J9" i="3"/>
  <c r="J11" i="3"/>
  <c r="D22" i="1"/>
  <c r="F6" i="2"/>
  <c r="J12" i="3"/>
  <c r="B3" i="3"/>
  <c r="E6" i="2"/>
  <c r="D10" i="1"/>
  <c r="B5" i="3"/>
  <c r="D10" i="3"/>
  <c r="C3" i="3"/>
  <c r="B7" i="3"/>
  <c r="D3" i="1"/>
  <c r="D14" i="1"/>
  <c r="B17" i="3"/>
  <c r="D14" i="3"/>
  <c r="C15" i="3"/>
  <c r="E2" i="2"/>
  <c r="J4" i="3"/>
  <c r="D27" i="1"/>
  <c r="J7" i="3"/>
  <c r="J10" i="3"/>
  <c r="D9" i="1"/>
  <c r="C5" i="3"/>
  <c r="J8" i="3"/>
  <c r="B2" i="3"/>
  <c r="J15" i="3"/>
  <c r="D6" i="1"/>
  <c r="D29" i="1"/>
  <c r="D6" i="3"/>
  <c r="D2" i="1"/>
  <c r="D32" i="1"/>
  <c r="D13" i="3"/>
  <c r="D7" i="1"/>
  <c r="D12" i="3"/>
  <c r="E5" i="2"/>
  <c r="D17" i="1"/>
  <c r="C13" i="3"/>
  <c r="D17" i="3"/>
  <c r="D15" i="1"/>
  <c r="D20" i="3"/>
  <c r="F4" i="2"/>
  <c r="D21" i="1"/>
  <c r="C17" i="3"/>
  <c r="B14" i="3"/>
  <c r="D24" i="1"/>
  <c r="D5" i="3"/>
  <c r="D4" i="3"/>
  <c r="C11" i="3"/>
  <c r="D11" i="3"/>
  <c r="E4" i="2"/>
  <c r="B8" i="3"/>
  <c r="D9" i="3"/>
  <c r="F3" i="2"/>
  <c r="C19" i="3"/>
  <c r="J14" i="3"/>
  <c r="D13" i="1"/>
  <c r="C9" i="3"/>
  <c r="D28" i="1"/>
  <c r="D16" i="1"/>
  <c r="C16" i="3"/>
  <c r="B10" i="3"/>
  <c r="B6" i="3"/>
  <c r="D19" i="3"/>
  <c r="J16" i="3"/>
  <c r="B16" i="3"/>
  <c r="C20" i="3"/>
  <c r="C7" i="3"/>
  <c r="B18" i="3"/>
  <c r="J6" i="3"/>
  <c r="D5" i="1"/>
  <c r="B20" i="3"/>
  <c r="D20" i="1"/>
  <c r="D8" i="1"/>
  <c r="C8" i="3"/>
  <c r="B13" i="3"/>
  <c r="C2" i="3"/>
  <c r="C6" i="3"/>
  <c r="D18" i="3"/>
  <c r="D8" i="3"/>
  <c r="C12" i="3"/>
  <c r="D7" i="3"/>
  <c r="C18" i="3"/>
  <c r="D15" i="3"/>
  <c r="F5" i="2"/>
  <c r="B12" i="3"/>
  <c r="C4" i="3"/>
  <c r="D31" i="1"/>
  <c r="D30" i="1"/>
  <c r="D3" i="3"/>
  <c r="J13" i="3"/>
  <c r="B4" i="3"/>
  <c r="D4" i="1"/>
  <c r="E3" i="2"/>
  <c r="B11" i="3"/>
  <c r="D11" i="1"/>
  <c r="D18" i="1"/>
  <c r="D25" i="1"/>
  <c r="D2" i="3"/>
  <c r="B9" i="3"/>
  <c r="B15" i="3"/>
  <c r="D19" i="1"/>
  <c r="C10" i="3"/>
  <c r="J5" i="3"/>
  <c r="D16" i="3"/>
  <c r="A7" i="3" l="1"/>
  <c r="K9" i="3"/>
  <c r="K11" i="3" s="1"/>
  <c r="K15" i="3" s="1"/>
  <c r="M13" i="2"/>
  <c r="M9" i="2"/>
  <c r="M8" i="2"/>
  <c r="M3" i="2"/>
  <c r="M2" i="2"/>
  <c r="K133" i="3"/>
  <c r="A8" i="3" l="1"/>
  <c r="A9" i="3" l="1"/>
  <c r="A10" i="3" l="1"/>
  <c r="A11" i="3" l="1"/>
  <c r="A12" i="3" l="1"/>
  <c r="A13" i="3" l="1"/>
  <c r="A14" i="3" l="1"/>
  <c r="A15" i="3" l="1"/>
  <c r="A16" i="3" l="1"/>
  <c r="A17" i="3" l="1"/>
  <c r="A18" i="3" l="1"/>
  <c r="A19" i="3" l="1"/>
  <c r="A20" i="3" l="1"/>
</calcChain>
</file>

<file path=xl/sharedStrings.xml><?xml version="1.0" encoding="utf-8"?>
<sst xmlns="http://schemas.openxmlformats.org/spreadsheetml/2006/main" count="144" uniqueCount="58">
  <si>
    <t>TB</t>
  </si>
  <si>
    <t>Approver</t>
  </si>
  <si>
    <t>Amount</t>
  </si>
  <si>
    <t>LimitCheck</t>
  </si>
  <si>
    <t>TB Type</t>
  </si>
  <si>
    <t>Limit</t>
  </si>
  <si>
    <t>BS</t>
  </si>
  <si>
    <t>Raja</t>
  </si>
  <si>
    <t>Kannan</t>
  </si>
  <si>
    <t>PL</t>
  </si>
  <si>
    <t>Sundar</t>
  </si>
  <si>
    <t>OFFBS</t>
  </si>
  <si>
    <t>Mohan</t>
  </si>
  <si>
    <t>Saran</t>
  </si>
  <si>
    <t>Name</t>
  </si>
  <si>
    <t>Age</t>
  </si>
  <si>
    <t>Income</t>
  </si>
  <si>
    <t>Saving</t>
  </si>
  <si>
    <t>Tax</t>
  </si>
  <si>
    <t>Tax Slab</t>
  </si>
  <si>
    <t>Male &lt; 60</t>
  </si>
  <si>
    <t>Rajesh</t>
  </si>
  <si>
    <t>Sankar</t>
  </si>
  <si>
    <t>Radha</t>
  </si>
  <si>
    <t>Kugan</t>
  </si>
  <si>
    <t>Kavitha</t>
  </si>
  <si>
    <t>Age 60 to 80</t>
  </si>
  <si>
    <t>Age &gt; 80</t>
  </si>
  <si>
    <t>Discount</t>
  </si>
  <si>
    <t>Discount Value</t>
  </si>
  <si>
    <t>Net Value</t>
  </si>
  <si>
    <t>Without Savings</t>
  </si>
  <si>
    <t>Sales Amount</t>
  </si>
  <si>
    <t>Qulification</t>
  </si>
  <si>
    <t>CA</t>
  </si>
  <si>
    <t>CWA</t>
  </si>
  <si>
    <t>ACS</t>
  </si>
  <si>
    <t>BCOM</t>
  </si>
  <si>
    <t>MCOM</t>
  </si>
  <si>
    <t>BA</t>
  </si>
  <si>
    <t>MA</t>
  </si>
  <si>
    <t>BBA</t>
  </si>
  <si>
    <t>MBA</t>
  </si>
  <si>
    <t>BL</t>
  </si>
  <si>
    <t>BE</t>
  </si>
  <si>
    <t>Net</t>
  </si>
  <si>
    <t>Martin</t>
  </si>
  <si>
    <t>Gross</t>
  </si>
  <si>
    <t>In Hand</t>
  </si>
  <si>
    <t>&lt;10000</t>
  </si>
  <si>
    <t>10000 to 20000</t>
  </si>
  <si>
    <t>20000 to 30000</t>
  </si>
  <si>
    <t>30000 to 40000</t>
  </si>
  <si>
    <t>40000 to 50000</t>
  </si>
  <si>
    <t>&gt;50000</t>
  </si>
  <si>
    <t>Dept</t>
  </si>
  <si>
    <t>BCA</t>
  </si>
  <si>
    <t>&amp;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</si>
</sst>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4" x14ac:knownFonts="1"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theme="1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1" applyNumberFormat="1" applyFont="1"/>
    <xf numFmtId="165" fontId="0" fillId="0" borderId="0" xfId="1" applyNumberFormat="1" applyFont="1"/>
    <xf numFmtId="0" fontId="0" fillId="0" borderId="0" xfId="0" applyNumberFormat="1"/>
    <xf numFmtId="0" fontId="0" fillId="0" borderId="0" xfId="0" applyFont="1"/>
    <xf numFmtId="165" fontId="0" fillId="0" borderId="0" xfId="0" applyNumberFormat="1"/>
    <xf numFmtId="165" fontId="0" fillId="0" borderId="0" xfId="0" applyNumberFormat="1" applyFont="1"/>
    <xf numFmtId="9" fontId="0" fillId="0" borderId="0" xfId="2" applyFont="1"/>
    <xf numFmtId="0" fontId="3" fillId="0" borderId="0" xfId="0" applyFont="1"/>
    <xf numFmtId="9" fontId="3" fillId="0" borderId="0" xfId="2" applyFont="1"/>
    <xf numFmtId="165" fontId="3" fillId="0" borderId="0" xfId="1" applyNumberFormat="1" applyFont="1"/>
    <xf numFmtId="165" fontId="2" fillId="0" borderId="0" xfId="1" applyNumberFormat="1" applyFont="1"/>
    <xf numFmtId="0" fontId="0" fillId="2" borderId="1" xfId="0" applyFont="1" applyFill="1" applyBorder="1"/>
    <xf numFmtId="0" fontId="0" fillId="2" borderId="2" xfId="0" applyFill="1" applyBorder="1"/>
    <xf numFmtId="9" fontId="0" fillId="2" borderId="2" xfId="0" applyNumberFormat="1" applyFill="1" applyBorder="1"/>
    <xf numFmtId="0" fontId="0" fillId="2" borderId="3" xfId="0" applyFill="1" applyBorder="1"/>
    <xf numFmtId="0" fontId="0" fillId="2" borderId="4" xfId="0" applyFont="1" applyFill="1" applyBorder="1"/>
    <xf numFmtId="0" fontId="0" fillId="2" borderId="0" xfId="0" applyFill="1" applyBorder="1"/>
    <xf numFmtId="9" fontId="0" fillId="2" borderId="0" xfId="0" applyNumberFormat="1" applyFill="1" applyBorder="1"/>
    <xf numFmtId="0" fontId="0" fillId="2" borderId="5" xfId="0" applyFill="1" applyBorder="1"/>
    <xf numFmtId="165" fontId="0" fillId="2" borderId="4" xfId="0" applyNumberFormat="1" applyFont="1" applyFill="1" applyBorder="1"/>
    <xf numFmtId="0" fontId="0" fillId="2" borderId="6" xfId="0" applyFill="1" applyBorder="1"/>
    <xf numFmtId="0" fontId="0" fillId="2" borderId="7" xfId="0" applyFill="1" applyBorder="1"/>
    <xf numFmtId="9" fontId="0" fillId="2" borderId="7" xfId="0" applyNumberFormat="1" applyFill="1" applyBorder="1"/>
    <xf numFmtId="0" fontId="0" fillId="2" borderId="8" xfId="0" applyFill="1" applyBorder="1"/>
    <xf numFmtId="9" fontId="3" fillId="0" borderId="0" xfId="0" applyNumberFormat="1" applyFont="1"/>
    <xf numFmtId="165" fontId="3" fillId="0" borderId="0" xfId="0" applyNumberFormat="1" applyFont="1"/>
    <xf numFmtId="9" fontId="2" fillId="0" borderId="0" xfId="2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45"/>
  <sheetViews>
    <sheetView topLeftCell="C1" workbookViewId="0">
      <selection activeCell="J16" sqref="J16"/>
    </sheetView>
  </sheetViews>
  <sheetFormatPr defaultRowHeight="12.75" x14ac:dyDescent="0.2"/>
  <cols>
    <col min="1" max="1" width="13.75" style="2" bestFit="1" customWidth="1"/>
    <col min="2" max="2" width="9" style="7"/>
    <col min="3" max="3" width="14.75" bestFit="1" customWidth="1"/>
    <col min="4" max="4" width="10.625" style="2" bestFit="1" customWidth="1"/>
    <col min="5" max="5" width="10.625" style="2" customWidth="1"/>
    <col min="6" max="6" width="15.375" bestFit="1" customWidth="1"/>
    <col min="9" max="9" width="11.375" bestFit="1" customWidth="1"/>
    <col min="10" max="10" width="14.125" bestFit="1" customWidth="1"/>
  </cols>
  <sheetData>
    <row r="1" spans="1:12" s="8" customFormat="1" x14ac:dyDescent="0.2">
      <c r="A1" s="10" t="s">
        <v>32</v>
      </c>
      <c r="B1" s="9" t="s">
        <v>28</v>
      </c>
      <c r="C1" s="8" t="s">
        <v>29</v>
      </c>
      <c r="D1" s="10" t="s">
        <v>30</v>
      </c>
      <c r="E1" s="10"/>
      <c r="F1" s="8" t="s">
        <v>49</v>
      </c>
      <c r="G1" s="25">
        <v>0</v>
      </c>
      <c r="I1" s="8" t="s">
        <v>33</v>
      </c>
      <c r="J1" s="8" t="s">
        <v>55</v>
      </c>
      <c r="K1" s="8">
        <v>88888.888888888891</v>
      </c>
    </row>
    <row r="2" spans="1:12" s="8" customFormat="1" x14ac:dyDescent="0.2">
      <c r="A2" s="2">
        <v>5000</v>
      </c>
      <c r="B2" s="27">
        <f>Discount(A2)</f>
        <v>0</v>
      </c>
      <c r="C2" s="11">
        <f>DiscountValue(A2)</f>
        <v>0</v>
      </c>
      <c r="D2" s="11">
        <f>NetValue(A2)</f>
        <v>5000</v>
      </c>
      <c r="E2" s="10"/>
      <c r="F2" s="8" t="s">
        <v>50</v>
      </c>
      <c r="G2" s="25">
        <v>0.1</v>
      </c>
    </row>
    <row r="3" spans="1:12" s="8" customFormat="1" x14ac:dyDescent="0.2">
      <c r="A3" s="2">
        <v>9800</v>
      </c>
      <c r="B3" s="27">
        <f t="shared" ref="B3:B20" si="0">Discount(A3)</f>
        <v>0</v>
      </c>
      <c r="C3" s="11">
        <f t="shared" ref="C3:C20" si="1">DiscountValue(A3)</f>
        <v>0</v>
      </c>
      <c r="D3" s="11">
        <f t="shared" ref="D3:D20" si="2">NetValue(A3)</f>
        <v>9800</v>
      </c>
      <c r="E3" s="10"/>
      <c r="F3" s="8" t="s">
        <v>51</v>
      </c>
      <c r="G3" s="25">
        <v>0.2</v>
      </c>
    </row>
    <row r="4" spans="1:12" x14ac:dyDescent="0.2">
      <c r="A4" s="2">
        <v>10001</v>
      </c>
      <c r="B4" s="27">
        <f t="shared" si="0"/>
        <v>0.1</v>
      </c>
      <c r="C4" s="11">
        <f t="shared" si="1"/>
        <v>1000.1</v>
      </c>
      <c r="D4" s="11">
        <f t="shared" si="2"/>
        <v>9000.9</v>
      </c>
      <c r="E4" s="10"/>
      <c r="F4" s="8" t="s">
        <v>52</v>
      </c>
      <c r="G4" s="25">
        <v>0.3</v>
      </c>
      <c r="I4" t="s">
        <v>34</v>
      </c>
      <c r="J4" t="str">
        <f>SelectionProcess(I4)</f>
        <v>Audit</v>
      </c>
    </row>
    <row r="5" spans="1:12" x14ac:dyDescent="0.2">
      <c r="A5" s="2">
        <f>+A4+4000</f>
        <v>14001</v>
      </c>
      <c r="B5" s="27">
        <f t="shared" si="0"/>
        <v>0.1</v>
      </c>
      <c r="C5" s="11">
        <f t="shared" si="1"/>
        <v>1400.1000000000001</v>
      </c>
      <c r="D5" s="11">
        <f t="shared" si="2"/>
        <v>12600.9</v>
      </c>
      <c r="E5" s="10"/>
      <c r="F5" s="8" t="s">
        <v>53</v>
      </c>
      <c r="G5" s="25">
        <v>0.4</v>
      </c>
      <c r="I5" t="s">
        <v>35</v>
      </c>
      <c r="J5" t="str">
        <f t="shared" ref="J5:J16" si="3">SelectionProcess(I5)</f>
        <v>Audit</v>
      </c>
      <c r="K5">
        <f>+K1*25%</f>
        <v>22222.222222222223</v>
      </c>
      <c r="L5" t="s">
        <v>18</v>
      </c>
    </row>
    <row r="6" spans="1:12" x14ac:dyDescent="0.2">
      <c r="A6" s="2">
        <f t="shared" ref="A6:A20" si="4">+A5+4000</f>
        <v>18001</v>
      </c>
      <c r="B6" s="27">
        <f t="shared" si="0"/>
        <v>0.1</v>
      </c>
      <c r="C6" s="11">
        <f t="shared" si="1"/>
        <v>1800.1000000000001</v>
      </c>
      <c r="D6" s="11">
        <f t="shared" si="2"/>
        <v>16200.9</v>
      </c>
      <c r="E6" s="10"/>
      <c r="F6" s="26" t="s">
        <v>54</v>
      </c>
      <c r="G6" s="25">
        <v>0.5</v>
      </c>
      <c r="I6" t="s">
        <v>36</v>
      </c>
      <c r="J6" t="str">
        <f t="shared" si="3"/>
        <v>Audit</v>
      </c>
    </row>
    <row r="7" spans="1:12" x14ac:dyDescent="0.2">
      <c r="A7" s="2">
        <f t="shared" si="4"/>
        <v>22001</v>
      </c>
      <c r="B7" s="27">
        <f t="shared" si="0"/>
        <v>0.2</v>
      </c>
      <c r="C7" s="11">
        <f t="shared" si="1"/>
        <v>4400.2</v>
      </c>
      <c r="D7" s="11">
        <f t="shared" si="2"/>
        <v>17600.8</v>
      </c>
      <c r="E7" s="10"/>
      <c r="F7" s="5"/>
      <c r="G7" s="5"/>
      <c r="I7" t="s">
        <v>37</v>
      </c>
      <c r="J7" t="str">
        <f t="shared" si="3"/>
        <v>Finance</v>
      </c>
      <c r="K7">
        <f>+K1-K5</f>
        <v>66666.666666666672</v>
      </c>
      <c r="L7" t="s">
        <v>47</v>
      </c>
    </row>
    <row r="8" spans="1:12" x14ac:dyDescent="0.2">
      <c r="A8" s="2">
        <f t="shared" si="4"/>
        <v>26001</v>
      </c>
      <c r="B8" s="27">
        <f t="shared" si="0"/>
        <v>0.2</v>
      </c>
      <c r="C8" s="11">
        <f t="shared" si="1"/>
        <v>5200.2000000000007</v>
      </c>
      <c r="D8" s="11">
        <f t="shared" si="2"/>
        <v>20800.8</v>
      </c>
      <c r="E8" s="10"/>
      <c r="F8" s="5"/>
      <c r="G8" s="5"/>
      <c r="I8" t="s">
        <v>38</v>
      </c>
      <c r="J8" t="str">
        <f t="shared" si="3"/>
        <v>Finance</v>
      </c>
    </row>
    <row r="9" spans="1:12" x14ac:dyDescent="0.2">
      <c r="A9" s="2">
        <f t="shared" si="4"/>
        <v>30001</v>
      </c>
      <c r="B9" s="27">
        <f t="shared" si="0"/>
        <v>0.3</v>
      </c>
      <c r="C9" s="11">
        <f t="shared" si="1"/>
        <v>9000.2999999999993</v>
      </c>
      <c r="D9" s="11">
        <f t="shared" si="2"/>
        <v>21000.7</v>
      </c>
      <c r="E9" s="10"/>
      <c r="F9" s="5"/>
      <c r="G9" s="5"/>
      <c r="I9" t="s">
        <v>39</v>
      </c>
      <c r="J9" t="str">
        <f t="shared" si="3"/>
        <v>Admin</v>
      </c>
      <c r="K9">
        <f>+K7*20%</f>
        <v>13333.333333333336</v>
      </c>
      <c r="L9" t="s">
        <v>46</v>
      </c>
    </row>
    <row r="10" spans="1:12" x14ac:dyDescent="0.2">
      <c r="A10" s="2">
        <f t="shared" si="4"/>
        <v>34001</v>
      </c>
      <c r="B10" s="27">
        <f t="shared" si="0"/>
        <v>0.3</v>
      </c>
      <c r="C10" s="11">
        <f t="shared" si="1"/>
        <v>10200.299999999999</v>
      </c>
      <c r="D10" s="11">
        <f t="shared" si="2"/>
        <v>23800.7</v>
      </c>
      <c r="E10" s="10"/>
      <c r="F10" s="5"/>
      <c r="G10" s="5"/>
      <c r="I10" t="s">
        <v>40</v>
      </c>
      <c r="J10" t="str">
        <f t="shared" si="3"/>
        <v>Admin</v>
      </c>
    </row>
    <row r="11" spans="1:12" x14ac:dyDescent="0.2">
      <c r="A11" s="2">
        <f t="shared" si="4"/>
        <v>38001</v>
      </c>
      <c r="B11" s="27">
        <f t="shared" si="0"/>
        <v>0.3</v>
      </c>
      <c r="C11" s="11">
        <f t="shared" si="1"/>
        <v>11400.3</v>
      </c>
      <c r="D11" s="11">
        <f t="shared" si="2"/>
        <v>26600.7</v>
      </c>
      <c r="E11" s="10"/>
      <c r="F11" s="5"/>
      <c r="G11" s="5"/>
      <c r="I11" t="s">
        <v>41</v>
      </c>
      <c r="J11" t="str">
        <f t="shared" si="3"/>
        <v>Marketing</v>
      </c>
      <c r="K11">
        <f>+K7+K9</f>
        <v>80000</v>
      </c>
      <c r="L11" t="s">
        <v>45</v>
      </c>
    </row>
    <row r="12" spans="1:12" x14ac:dyDescent="0.2">
      <c r="A12" s="2">
        <f t="shared" si="4"/>
        <v>42001</v>
      </c>
      <c r="B12" s="27">
        <f t="shared" si="0"/>
        <v>0.4</v>
      </c>
      <c r="C12" s="11">
        <f t="shared" si="1"/>
        <v>16800.400000000001</v>
      </c>
      <c r="D12" s="11">
        <f t="shared" si="2"/>
        <v>25200.6</v>
      </c>
      <c r="E12" s="10"/>
      <c r="F12" s="5"/>
      <c r="G12" s="5"/>
      <c r="I12" t="s">
        <v>42</v>
      </c>
      <c r="J12" t="str">
        <f t="shared" si="3"/>
        <v>Marketing</v>
      </c>
    </row>
    <row r="13" spans="1:12" x14ac:dyDescent="0.2">
      <c r="A13" s="2">
        <f t="shared" si="4"/>
        <v>46001</v>
      </c>
      <c r="B13" s="27">
        <f t="shared" si="0"/>
        <v>0.4</v>
      </c>
      <c r="C13" s="11">
        <f t="shared" si="1"/>
        <v>18400.400000000001</v>
      </c>
      <c r="D13" s="11">
        <f t="shared" si="2"/>
        <v>27600.6</v>
      </c>
      <c r="E13" s="10"/>
      <c r="F13" s="5"/>
      <c r="G13" s="5"/>
      <c r="I13" t="s">
        <v>43</v>
      </c>
      <c r="J13" t="str">
        <f t="shared" si="3"/>
        <v>Legal</v>
      </c>
      <c r="K13">
        <v>80000</v>
      </c>
      <c r="L13" t="s">
        <v>48</v>
      </c>
    </row>
    <row r="14" spans="1:12" x14ac:dyDescent="0.2">
      <c r="A14" s="2">
        <f t="shared" si="4"/>
        <v>50001</v>
      </c>
      <c r="B14" s="27">
        <f t="shared" si="0"/>
        <v>0.5</v>
      </c>
      <c r="C14" s="11">
        <f t="shared" si="1"/>
        <v>25000.5</v>
      </c>
      <c r="D14" s="11">
        <f t="shared" si="2"/>
        <v>25000.5</v>
      </c>
      <c r="E14" s="10"/>
      <c r="F14" s="5"/>
      <c r="G14" s="5"/>
      <c r="I14" t="s">
        <v>44</v>
      </c>
      <c r="J14" t="str">
        <f t="shared" si="3"/>
        <v>Others</v>
      </c>
    </row>
    <row r="15" spans="1:12" x14ac:dyDescent="0.2">
      <c r="A15" s="2">
        <f t="shared" si="4"/>
        <v>54001</v>
      </c>
      <c r="B15" s="27">
        <f t="shared" si="0"/>
        <v>0.5</v>
      </c>
      <c r="C15" s="11">
        <f t="shared" si="1"/>
        <v>27000.5</v>
      </c>
      <c r="D15" s="11">
        <f t="shared" si="2"/>
        <v>27000.5</v>
      </c>
      <c r="E15" s="10"/>
      <c r="F15" s="5"/>
      <c r="G15" s="5"/>
      <c r="I15" t="s">
        <v>56</v>
      </c>
      <c r="J15" t="str">
        <f t="shared" si="3"/>
        <v>Others</v>
      </c>
      <c r="K15">
        <f>+K11-K13</f>
        <v>0</v>
      </c>
    </row>
    <row r="16" spans="1:12" x14ac:dyDescent="0.2">
      <c r="A16" s="2">
        <f t="shared" si="4"/>
        <v>58001</v>
      </c>
      <c r="B16" s="27">
        <f t="shared" si="0"/>
        <v>0.5</v>
      </c>
      <c r="C16" s="11">
        <f t="shared" si="1"/>
        <v>29000.5</v>
      </c>
      <c r="D16" s="11">
        <f t="shared" si="2"/>
        <v>29000.5</v>
      </c>
      <c r="E16" s="10"/>
      <c r="F16" s="5"/>
      <c r="G16" s="5"/>
      <c r="I16" t="s">
        <v>57</v>
      </c>
      <c r="J16" t="str">
        <f t="shared" si="3"/>
        <v>IT</v>
      </c>
    </row>
    <row r="17" spans="1:7" x14ac:dyDescent="0.2">
      <c r="A17" s="2">
        <f t="shared" si="4"/>
        <v>62001</v>
      </c>
      <c r="B17" s="27">
        <f t="shared" si="0"/>
        <v>0.5</v>
      </c>
      <c r="C17" s="11">
        <f t="shared" si="1"/>
        <v>31000.5</v>
      </c>
      <c r="D17" s="11">
        <f t="shared" si="2"/>
        <v>31000.5</v>
      </c>
      <c r="E17" s="10"/>
      <c r="F17" s="5"/>
      <c r="G17" s="5"/>
    </row>
    <row r="18" spans="1:7" x14ac:dyDescent="0.2">
      <c r="A18" s="2">
        <f t="shared" si="4"/>
        <v>66001</v>
      </c>
      <c r="B18" s="27">
        <f t="shared" si="0"/>
        <v>0.5</v>
      </c>
      <c r="C18" s="11">
        <f t="shared" si="1"/>
        <v>33000.5</v>
      </c>
      <c r="D18" s="11">
        <f t="shared" si="2"/>
        <v>33000.5</v>
      </c>
      <c r="E18" s="10"/>
      <c r="F18" s="5"/>
      <c r="G18" s="5"/>
    </row>
    <row r="19" spans="1:7" x14ac:dyDescent="0.2">
      <c r="A19" s="2">
        <f t="shared" si="4"/>
        <v>70001</v>
      </c>
      <c r="B19" s="27">
        <f t="shared" si="0"/>
        <v>0.5</v>
      </c>
      <c r="C19" s="11">
        <f t="shared" si="1"/>
        <v>35000.5</v>
      </c>
      <c r="D19" s="11">
        <f t="shared" si="2"/>
        <v>35000.5</v>
      </c>
      <c r="E19" s="10"/>
      <c r="F19" s="5"/>
      <c r="G19" s="5"/>
    </row>
    <row r="20" spans="1:7" x14ac:dyDescent="0.2">
      <c r="A20" s="2">
        <f t="shared" si="4"/>
        <v>74001</v>
      </c>
      <c r="B20" s="27">
        <f t="shared" si="0"/>
        <v>0.5</v>
      </c>
      <c r="C20" s="11">
        <f t="shared" si="1"/>
        <v>37000.5</v>
      </c>
      <c r="D20" s="11">
        <f t="shared" si="2"/>
        <v>37000.5</v>
      </c>
      <c r="E20" s="10"/>
      <c r="F20" s="5"/>
      <c r="G20" s="5"/>
    </row>
    <row r="21" spans="1:7" x14ac:dyDescent="0.2">
      <c r="B21" s="27"/>
      <c r="C21" s="11"/>
      <c r="D21" s="11"/>
      <c r="F21" s="5"/>
      <c r="G21" s="5"/>
    </row>
    <row r="22" spans="1:7" x14ac:dyDescent="0.2">
      <c r="B22" s="27"/>
      <c r="C22" s="11"/>
      <c r="D22" s="11"/>
      <c r="F22" s="5"/>
      <c r="G22" s="5"/>
    </row>
    <row r="23" spans="1:7" x14ac:dyDescent="0.2">
      <c r="B23" s="27"/>
      <c r="C23" s="11"/>
      <c r="D23" s="11"/>
      <c r="F23" s="5"/>
      <c r="G23" s="5"/>
    </row>
    <row r="24" spans="1:7" x14ac:dyDescent="0.2">
      <c r="B24" s="27"/>
      <c r="C24" s="11"/>
      <c r="D24" s="11"/>
      <c r="F24" s="5"/>
      <c r="G24" s="5"/>
    </row>
    <row r="25" spans="1:7" x14ac:dyDescent="0.2">
      <c r="B25" s="27"/>
      <c r="C25" s="11"/>
      <c r="D25" s="11"/>
      <c r="F25" s="5"/>
      <c r="G25" s="5"/>
    </row>
    <row r="26" spans="1:7" x14ac:dyDescent="0.2">
      <c r="B26" s="27"/>
      <c r="C26" s="11"/>
      <c r="D26" s="11"/>
      <c r="F26" s="5"/>
      <c r="G26" s="5"/>
    </row>
    <row r="27" spans="1:7" x14ac:dyDescent="0.2">
      <c r="C27" s="2"/>
      <c r="F27" s="5"/>
      <c r="G27" s="5"/>
    </row>
    <row r="28" spans="1:7" x14ac:dyDescent="0.2">
      <c r="C28" s="2"/>
      <c r="F28" s="5"/>
      <c r="G28" s="5"/>
    </row>
    <row r="29" spans="1:7" x14ac:dyDescent="0.2">
      <c r="C29" s="2"/>
      <c r="F29" s="5"/>
      <c r="G29" s="5"/>
    </row>
    <row r="30" spans="1:7" x14ac:dyDescent="0.2">
      <c r="C30" s="2"/>
      <c r="F30" s="5"/>
      <c r="G30" s="5"/>
    </row>
    <row r="31" spans="1:7" x14ac:dyDescent="0.2">
      <c r="C31" s="2"/>
      <c r="F31" s="5"/>
      <c r="G31" s="5"/>
    </row>
    <row r="32" spans="1:7" x14ac:dyDescent="0.2">
      <c r="C32" s="2"/>
      <c r="F32" s="5"/>
      <c r="G32" s="5"/>
    </row>
    <row r="33" spans="3:7" x14ac:dyDescent="0.2">
      <c r="C33" s="2"/>
      <c r="F33" s="5"/>
      <c r="G33" s="5"/>
    </row>
    <row r="34" spans="3:7" x14ac:dyDescent="0.2">
      <c r="C34" s="2"/>
      <c r="F34" s="5"/>
      <c r="G34" s="5"/>
    </row>
    <row r="35" spans="3:7" x14ac:dyDescent="0.2">
      <c r="C35" s="2"/>
      <c r="F35" s="5"/>
      <c r="G35" s="5"/>
    </row>
    <row r="36" spans="3:7" x14ac:dyDescent="0.2">
      <c r="C36" s="2"/>
      <c r="F36" s="5"/>
      <c r="G36" s="5"/>
    </row>
    <row r="37" spans="3:7" x14ac:dyDescent="0.2">
      <c r="C37" s="2"/>
      <c r="F37" s="5"/>
      <c r="G37" s="5"/>
    </row>
    <row r="38" spans="3:7" x14ac:dyDescent="0.2">
      <c r="C38" s="2"/>
      <c r="F38" s="5"/>
      <c r="G38" s="5"/>
    </row>
    <row r="39" spans="3:7" x14ac:dyDescent="0.2">
      <c r="C39" s="2"/>
      <c r="F39" s="5"/>
      <c r="G39" s="5"/>
    </row>
    <row r="40" spans="3:7" x14ac:dyDescent="0.2">
      <c r="C40" s="2"/>
      <c r="F40" s="5"/>
      <c r="G40" s="5"/>
    </row>
    <row r="41" spans="3:7" x14ac:dyDescent="0.2">
      <c r="C41" s="2"/>
      <c r="F41" s="5"/>
      <c r="G41" s="5"/>
    </row>
    <row r="42" spans="3:7" x14ac:dyDescent="0.2">
      <c r="C42" s="2"/>
      <c r="F42" s="5"/>
      <c r="G42" s="5"/>
    </row>
    <row r="43" spans="3:7" x14ac:dyDescent="0.2">
      <c r="C43" s="2"/>
      <c r="F43" s="5"/>
      <c r="G43" s="5"/>
    </row>
    <row r="44" spans="3:7" x14ac:dyDescent="0.2">
      <c r="C44" s="2"/>
      <c r="F44" s="5"/>
      <c r="G44" s="5"/>
    </row>
    <row r="45" spans="3:7" x14ac:dyDescent="0.2">
      <c r="C45" s="2"/>
      <c r="F45" s="5"/>
      <c r="G45" s="5"/>
    </row>
    <row r="46" spans="3:7" x14ac:dyDescent="0.2">
      <c r="C46" s="2"/>
      <c r="F46" s="5"/>
      <c r="G46" s="5"/>
    </row>
    <row r="47" spans="3:7" x14ac:dyDescent="0.2">
      <c r="C47" s="2"/>
      <c r="F47" s="5"/>
      <c r="G47" s="5"/>
    </row>
    <row r="48" spans="3:7" x14ac:dyDescent="0.2">
      <c r="C48" s="2"/>
      <c r="F48" s="5"/>
      <c r="G48" s="5"/>
    </row>
    <row r="49" spans="3:7" x14ac:dyDescent="0.2">
      <c r="C49" s="2"/>
      <c r="F49" s="5"/>
      <c r="G49" s="5"/>
    </row>
    <row r="50" spans="3:7" x14ac:dyDescent="0.2">
      <c r="C50" s="2"/>
      <c r="F50" s="5"/>
      <c r="G50" s="5"/>
    </row>
    <row r="51" spans="3:7" x14ac:dyDescent="0.2">
      <c r="C51" s="2"/>
      <c r="F51" s="5"/>
      <c r="G51" s="5"/>
    </row>
    <row r="52" spans="3:7" x14ac:dyDescent="0.2">
      <c r="C52" s="2"/>
      <c r="F52" s="5"/>
      <c r="G52" s="5"/>
    </row>
    <row r="53" spans="3:7" x14ac:dyDescent="0.2">
      <c r="C53" s="2"/>
      <c r="F53" s="5"/>
      <c r="G53" s="5"/>
    </row>
    <row r="54" spans="3:7" x14ac:dyDescent="0.2">
      <c r="C54" s="2"/>
      <c r="F54" s="5"/>
      <c r="G54" s="5"/>
    </row>
    <row r="55" spans="3:7" x14ac:dyDescent="0.2">
      <c r="C55" s="2"/>
      <c r="F55" s="5"/>
      <c r="G55" s="5"/>
    </row>
    <row r="56" spans="3:7" x14ac:dyDescent="0.2">
      <c r="C56" s="2"/>
      <c r="F56" s="5"/>
      <c r="G56" s="5"/>
    </row>
    <row r="57" spans="3:7" x14ac:dyDescent="0.2">
      <c r="C57" s="2"/>
      <c r="F57" s="5"/>
      <c r="G57" s="5"/>
    </row>
    <row r="58" spans="3:7" x14ac:dyDescent="0.2">
      <c r="C58" s="2"/>
      <c r="F58" s="5"/>
      <c r="G58" s="5"/>
    </row>
    <row r="59" spans="3:7" x14ac:dyDescent="0.2">
      <c r="C59" s="2"/>
      <c r="F59" s="5"/>
      <c r="G59" s="5"/>
    </row>
    <row r="60" spans="3:7" x14ac:dyDescent="0.2">
      <c r="C60" s="2"/>
      <c r="F60" s="5"/>
      <c r="G60" s="5"/>
    </row>
    <row r="61" spans="3:7" x14ac:dyDescent="0.2">
      <c r="C61" s="2"/>
      <c r="F61" s="5"/>
      <c r="G61" s="5"/>
    </row>
    <row r="62" spans="3:7" x14ac:dyDescent="0.2">
      <c r="C62" s="2"/>
      <c r="F62" s="5"/>
      <c r="G62" s="5"/>
    </row>
    <row r="63" spans="3:7" x14ac:dyDescent="0.2">
      <c r="C63" s="2"/>
      <c r="F63" s="5"/>
      <c r="G63" s="5"/>
    </row>
    <row r="64" spans="3:7" x14ac:dyDescent="0.2">
      <c r="C64" s="2"/>
      <c r="F64" s="5"/>
      <c r="G64" s="5"/>
    </row>
    <row r="65" spans="3:7" x14ac:dyDescent="0.2">
      <c r="C65" s="2"/>
      <c r="F65" s="5"/>
      <c r="G65" s="5"/>
    </row>
    <row r="66" spans="3:7" x14ac:dyDescent="0.2">
      <c r="C66" s="2"/>
      <c r="F66" s="5"/>
      <c r="G66" s="5"/>
    </row>
    <row r="67" spans="3:7" x14ac:dyDescent="0.2">
      <c r="C67" s="2"/>
      <c r="F67" s="5"/>
      <c r="G67" s="5"/>
    </row>
    <row r="68" spans="3:7" x14ac:dyDescent="0.2">
      <c r="C68" s="2"/>
      <c r="F68" s="5"/>
      <c r="G68" s="5"/>
    </row>
    <row r="69" spans="3:7" x14ac:dyDescent="0.2">
      <c r="C69" s="2"/>
      <c r="F69" s="5"/>
      <c r="G69" s="5"/>
    </row>
    <row r="70" spans="3:7" x14ac:dyDescent="0.2">
      <c r="C70" s="2"/>
      <c r="F70" s="5"/>
      <c r="G70" s="5"/>
    </row>
    <row r="71" spans="3:7" x14ac:dyDescent="0.2">
      <c r="C71" s="2"/>
      <c r="F71" s="5"/>
      <c r="G71" s="5"/>
    </row>
    <row r="72" spans="3:7" x14ac:dyDescent="0.2">
      <c r="C72" s="2"/>
      <c r="F72" s="5"/>
      <c r="G72" s="5"/>
    </row>
    <row r="73" spans="3:7" x14ac:dyDescent="0.2">
      <c r="C73" s="2"/>
      <c r="F73" s="5"/>
      <c r="G73" s="5"/>
    </row>
    <row r="74" spans="3:7" x14ac:dyDescent="0.2">
      <c r="C74" s="2"/>
      <c r="F74" s="5"/>
      <c r="G74" s="5"/>
    </row>
    <row r="75" spans="3:7" x14ac:dyDescent="0.2">
      <c r="C75" s="2"/>
      <c r="F75" s="5"/>
      <c r="G75" s="5"/>
    </row>
    <row r="76" spans="3:7" x14ac:dyDescent="0.2">
      <c r="C76" s="2"/>
      <c r="F76" s="5"/>
      <c r="G76" s="5"/>
    </row>
    <row r="77" spans="3:7" x14ac:dyDescent="0.2">
      <c r="C77" s="2"/>
      <c r="F77" s="5"/>
      <c r="G77" s="5"/>
    </row>
    <row r="78" spans="3:7" x14ac:dyDescent="0.2">
      <c r="C78" s="2"/>
      <c r="F78" s="5"/>
      <c r="G78" s="5"/>
    </row>
    <row r="79" spans="3:7" x14ac:dyDescent="0.2">
      <c r="C79" s="2"/>
      <c r="F79" s="5"/>
      <c r="G79" s="5"/>
    </row>
    <row r="80" spans="3:7" x14ac:dyDescent="0.2">
      <c r="C80" s="2"/>
      <c r="F80" s="5"/>
      <c r="G80" s="5"/>
    </row>
    <row r="81" spans="3:7" x14ac:dyDescent="0.2">
      <c r="C81" s="2"/>
      <c r="F81" s="5"/>
      <c r="G81" s="5"/>
    </row>
    <row r="82" spans="3:7" x14ac:dyDescent="0.2">
      <c r="C82" s="2"/>
      <c r="F82" s="5"/>
      <c r="G82" s="5"/>
    </row>
    <row r="83" spans="3:7" x14ac:dyDescent="0.2">
      <c r="C83" s="2"/>
      <c r="F83" s="5"/>
      <c r="G83" s="5"/>
    </row>
    <row r="84" spans="3:7" x14ac:dyDescent="0.2">
      <c r="C84" s="2"/>
      <c r="F84" s="5"/>
      <c r="G84" s="5"/>
    </row>
    <row r="85" spans="3:7" x14ac:dyDescent="0.2">
      <c r="C85" s="2"/>
      <c r="F85" s="5"/>
      <c r="G85" s="5"/>
    </row>
    <row r="86" spans="3:7" x14ac:dyDescent="0.2">
      <c r="C86" s="2"/>
      <c r="F86" s="5"/>
      <c r="G86" s="5"/>
    </row>
    <row r="87" spans="3:7" x14ac:dyDescent="0.2">
      <c r="C87" s="2"/>
      <c r="F87" s="5"/>
      <c r="G87" s="5"/>
    </row>
    <row r="88" spans="3:7" x14ac:dyDescent="0.2">
      <c r="C88" s="2"/>
      <c r="F88" s="5"/>
      <c r="G88" s="5"/>
    </row>
    <row r="89" spans="3:7" x14ac:dyDescent="0.2">
      <c r="C89" s="2"/>
      <c r="F89" s="5"/>
      <c r="G89" s="5"/>
    </row>
    <row r="90" spans="3:7" x14ac:dyDescent="0.2">
      <c r="C90" s="2"/>
      <c r="F90" s="5"/>
      <c r="G90" s="5"/>
    </row>
    <row r="91" spans="3:7" x14ac:dyDescent="0.2">
      <c r="C91" s="2"/>
      <c r="F91" s="5"/>
      <c r="G91" s="5"/>
    </row>
    <row r="92" spans="3:7" x14ac:dyDescent="0.2">
      <c r="C92" s="2"/>
      <c r="F92" s="5"/>
      <c r="G92" s="5"/>
    </row>
    <row r="93" spans="3:7" x14ac:dyDescent="0.2">
      <c r="C93" s="2"/>
      <c r="F93" s="5"/>
      <c r="G93" s="5"/>
    </row>
    <row r="94" spans="3:7" x14ac:dyDescent="0.2">
      <c r="C94" s="2"/>
      <c r="F94" s="5"/>
      <c r="G94" s="5"/>
    </row>
    <row r="95" spans="3:7" x14ac:dyDescent="0.2">
      <c r="C95" s="2"/>
      <c r="F95" s="5"/>
      <c r="G95" s="5"/>
    </row>
    <row r="96" spans="3:7" x14ac:dyDescent="0.2">
      <c r="C96" s="2"/>
      <c r="F96" s="5"/>
      <c r="G96" s="5"/>
    </row>
    <row r="97" spans="3:7" x14ac:dyDescent="0.2">
      <c r="C97" s="2"/>
      <c r="F97" s="5"/>
      <c r="G97" s="5"/>
    </row>
    <row r="98" spans="3:7" x14ac:dyDescent="0.2">
      <c r="C98" s="2"/>
      <c r="F98" s="5"/>
      <c r="G98" s="5"/>
    </row>
    <row r="99" spans="3:7" x14ac:dyDescent="0.2">
      <c r="C99" s="2"/>
      <c r="F99" s="5"/>
      <c r="G99" s="5"/>
    </row>
    <row r="100" spans="3:7" x14ac:dyDescent="0.2">
      <c r="C100" s="2"/>
      <c r="F100" s="5"/>
      <c r="G100" s="5"/>
    </row>
    <row r="101" spans="3:7" x14ac:dyDescent="0.2">
      <c r="C101" s="2"/>
      <c r="F101" s="5"/>
      <c r="G101" s="5"/>
    </row>
    <row r="102" spans="3:7" x14ac:dyDescent="0.2">
      <c r="C102" s="2"/>
      <c r="F102" s="5"/>
      <c r="G102" s="5"/>
    </row>
    <row r="103" spans="3:7" x14ac:dyDescent="0.2">
      <c r="C103" s="2"/>
      <c r="F103" s="5"/>
      <c r="G103" s="5"/>
    </row>
    <row r="104" spans="3:7" x14ac:dyDescent="0.2">
      <c r="C104" s="2"/>
      <c r="F104" s="5"/>
      <c r="G104" s="5"/>
    </row>
    <row r="105" spans="3:7" x14ac:dyDescent="0.2">
      <c r="C105" s="2"/>
      <c r="F105" s="5"/>
      <c r="G105" s="5"/>
    </row>
    <row r="106" spans="3:7" x14ac:dyDescent="0.2">
      <c r="C106" s="2"/>
      <c r="F106" s="5"/>
      <c r="G106" s="5"/>
    </row>
    <row r="107" spans="3:7" x14ac:dyDescent="0.2">
      <c r="C107" s="2"/>
      <c r="F107" s="5"/>
      <c r="G107" s="5"/>
    </row>
    <row r="108" spans="3:7" x14ac:dyDescent="0.2">
      <c r="C108" s="2"/>
      <c r="F108" s="5"/>
      <c r="G108" s="5"/>
    </row>
    <row r="109" spans="3:7" x14ac:dyDescent="0.2">
      <c r="C109" s="2"/>
      <c r="F109" s="5"/>
      <c r="G109" s="5"/>
    </row>
    <row r="110" spans="3:7" x14ac:dyDescent="0.2">
      <c r="C110" s="2"/>
      <c r="F110" s="5"/>
      <c r="G110" s="5"/>
    </row>
    <row r="111" spans="3:7" x14ac:dyDescent="0.2">
      <c r="C111" s="2"/>
      <c r="F111" s="5"/>
      <c r="G111" s="5"/>
    </row>
    <row r="112" spans="3:7" x14ac:dyDescent="0.2">
      <c r="C112" s="2"/>
      <c r="F112" s="5"/>
      <c r="G112" s="5"/>
    </row>
    <row r="113" spans="3:11" x14ac:dyDescent="0.2">
      <c r="C113" s="2"/>
      <c r="F113" s="5"/>
      <c r="G113" s="5"/>
    </row>
    <row r="114" spans="3:11" x14ac:dyDescent="0.2">
      <c r="C114" s="2"/>
      <c r="F114" s="5"/>
      <c r="G114" s="5"/>
    </row>
    <row r="115" spans="3:11" x14ac:dyDescent="0.2">
      <c r="C115" s="2"/>
      <c r="F115" s="5"/>
      <c r="G115" s="5"/>
    </row>
    <row r="116" spans="3:11" x14ac:dyDescent="0.2">
      <c r="C116" s="2"/>
      <c r="F116" s="5"/>
      <c r="G116" s="5"/>
    </row>
    <row r="117" spans="3:11" x14ac:dyDescent="0.2">
      <c r="C117" s="2"/>
      <c r="F117" s="5"/>
      <c r="G117" s="5"/>
    </row>
    <row r="118" spans="3:11" x14ac:dyDescent="0.2">
      <c r="C118" s="2"/>
      <c r="F118" s="5"/>
      <c r="G118" s="5"/>
    </row>
    <row r="119" spans="3:11" x14ac:dyDescent="0.2">
      <c r="C119" s="2"/>
      <c r="F119" s="5"/>
      <c r="G119" s="5"/>
    </row>
    <row r="120" spans="3:11" x14ac:dyDescent="0.2">
      <c r="C120" s="2"/>
      <c r="F120" s="5"/>
      <c r="G120" s="5"/>
    </row>
    <row r="121" spans="3:11" x14ac:dyDescent="0.2">
      <c r="C121" s="2"/>
      <c r="F121" s="5"/>
      <c r="G121" s="5"/>
    </row>
    <row r="122" spans="3:11" x14ac:dyDescent="0.2">
      <c r="C122" s="2"/>
      <c r="F122" s="5"/>
      <c r="G122" s="5"/>
      <c r="K122">
        <v>5000</v>
      </c>
    </row>
    <row r="123" spans="3:11" x14ac:dyDescent="0.2">
      <c r="C123" s="2"/>
      <c r="F123" s="5"/>
      <c r="G123" s="5"/>
      <c r="K123">
        <v>5545</v>
      </c>
    </row>
    <row r="124" spans="3:11" x14ac:dyDescent="0.2">
      <c r="C124" s="2"/>
      <c r="F124" s="5"/>
      <c r="G124" s="5"/>
      <c r="K124">
        <v>6090</v>
      </c>
    </row>
    <row r="125" spans="3:11" x14ac:dyDescent="0.2">
      <c r="C125" s="2"/>
      <c r="F125" s="5"/>
      <c r="G125" s="5"/>
    </row>
    <row r="126" spans="3:11" x14ac:dyDescent="0.2">
      <c r="C126" s="2"/>
      <c r="F126" s="5"/>
      <c r="G126" s="5"/>
      <c r="K126">
        <v>7180</v>
      </c>
    </row>
    <row r="127" spans="3:11" x14ac:dyDescent="0.2">
      <c r="C127" s="2"/>
      <c r="F127" s="5"/>
      <c r="G127" s="5"/>
      <c r="K127">
        <v>7725</v>
      </c>
    </row>
    <row r="128" spans="3:11" x14ac:dyDescent="0.2">
      <c r="C128" s="2"/>
      <c r="F128" s="5"/>
      <c r="G128" s="5"/>
      <c r="K128">
        <v>8270</v>
      </c>
    </row>
    <row r="129" spans="3:11" x14ac:dyDescent="0.2">
      <c r="C129" s="2"/>
      <c r="F129" s="5"/>
      <c r="G129" s="5"/>
    </row>
    <row r="130" spans="3:11" x14ac:dyDescent="0.2">
      <c r="C130" s="2"/>
      <c r="F130" s="5"/>
      <c r="G130" s="5"/>
      <c r="K130">
        <v>9360</v>
      </c>
    </row>
    <row r="131" spans="3:11" x14ac:dyDescent="0.2">
      <c r="C131" s="2"/>
      <c r="F131" s="5"/>
      <c r="G131" s="5"/>
      <c r="K131">
        <v>9905</v>
      </c>
    </row>
    <row r="132" spans="3:11" x14ac:dyDescent="0.2">
      <c r="C132" s="2"/>
      <c r="F132" s="5"/>
      <c r="G132" s="5"/>
    </row>
    <row r="133" spans="3:11" x14ac:dyDescent="0.2">
      <c r="C133" s="2"/>
      <c r="F133" s="5"/>
      <c r="G133" s="5"/>
      <c r="K133" t="e">
        <f ca="1">CountOnlyNumbers(K122:K131)</f>
        <v>#NAME?</v>
      </c>
    </row>
    <row r="134" spans="3:11" x14ac:dyDescent="0.2">
      <c r="C134" s="2"/>
      <c r="F134" s="5"/>
      <c r="G134" s="5"/>
    </row>
    <row r="135" spans="3:11" x14ac:dyDescent="0.2">
      <c r="C135" s="2"/>
      <c r="F135" s="5"/>
      <c r="G135" s="5"/>
    </row>
    <row r="136" spans="3:11" x14ac:dyDescent="0.2">
      <c r="C136" s="2"/>
      <c r="F136" s="5"/>
      <c r="G136" s="5"/>
    </row>
    <row r="137" spans="3:11" x14ac:dyDescent="0.2">
      <c r="C137" s="2"/>
      <c r="F137" s="5"/>
      <c r="G137" s="5"/>
    </row>
    <row r="138" spans="3:11" x14ac:dyDescent="0.2">
      <c r="C138" s="2"/>
      <c r="F138" s="5"/>
      <c r="G138" s="5"/>
    </row>
    <row r="139" spans="3:11" x14ac:dyDescent="0.2">
      <c r="C139" s="2"/>
      <c r="F139" s="5"/>
      <c r="G139" s="5"/>
    </row>
    <row r="140" spans="3:11" x14ac:dyDescent="0.2">
      <c r="C140" s="2"/>
      <c r="F140" s="5"/>
      <c r="G140" s="5"/>
    </row>
    <row r="141" spans="3:11" x14ac:dyDescent="0.2">
      <c r="C141" s="2"/>
      <c r="F141" s="5"/>
      <c r="G141" s="5"/>
    </row>
    <row r="142" spans="3:11" x14ac:dyDescent="0.2">
      <c r="C142" s="2"/>
      <c r="F142" s="5"/>
      <c r="G142" s="5"/>
    </row>
    <row r="143" spans="3:11" x14ac:dyDescent="0.2">
      <c r="C143" s="2"/>
      <c r="F143" s="5"/>
      <c r="G143" s="5"/>
    </row>
    <row r="144" spans="3:11" x14ac:dyDescent="0.2">
      <c r="C144" s="2"/>
      <c r="F144" s="5"/>
      <c r="G144" s="5"/>
    </row>
    <row r="145" spans="3:7" x14ac:dyDescent="0.2">
      <c r="C145" s="2"/>
      <c r="F145" s="5"/>
      <c r="G145" s="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2"/>
  <sheetViews>
    <sheetView tabSelected="1" workbookViewId="0">
      <selection activeCell="D3" sqref="D3"/>
    </sheetView>
  </sheetViews>
  <sheetFormatPr defaultRowHeight="12.75" x14ac:dyDescent="0.2"/>
  <cols>
    <col min="3" max="3" width="13.375" bestFit="1" customWidth="1"/>
    <col min="4" max="4" width="9.625" bestFit="1" customWidth="1"/>
    <col min="6" max="6" width="8.25" customWidth="1"/>
    <col min="7" max="7" width="9.375" customWidth="1"/>
    <col min="8" max="8" width="14.375" style="3" bestFit="1" customWidth="1"/>
  </cols>
  <sheetData>
    <row r="1" spans="1:8" x14ac:dyDescent="0.2">
      <c r="A1" t="s">
        <v>1</v>
      </c>
      <c r="B1" t="s">
        <v>0</v>
      </c>
      <c r="C1" t="s">
        <v>2</v>
      </c>
      <c r="D1" t="s">
        <v>3</v>
      </c>
      <c r="F1" t="s">
        <v>1</v>
      </c>
      <c r="G1" t="s">
        <v>4</v>
      </c>
      <c r="H1" s="1" t="s">
        <v>5</v>
      </c>
    </row>
    <row r="2" spans="1:8" x14ac:dyDescent="0.2">
      <c r="A2" t="s">
        <v>7</v>
      </c>
      <c r="B2" t="s">
        <v>6</v>
      </c>
      <c r="C2" s="2">
        <v>1000000</v>
      </c>
      <c r="D2" t="str">
        <f>LimitCheck(A2,B2,C2)</f>
        <v>Accepted</v>
      </c>
      <c r="F2" t="s">
        <v>7</v>
      </c>
      <c r="G2" t="s">
        <v>6</v>
      </c>
      <c r="H2" s="11">
        <v>1000000</v>
      </c>
    </row>
    <row r="3" spans="1:8" x14ac:dyDescent="0.2">
      <c r="A3" t="s">
        <v>8</v>
      </c>
      <c r="B3" t="s">
        <v>6</v>
      </c>
      <c r="C3" s="2">
        <v>154544</v>
      </c>
      <c r="D3" t="str">
        <f t="shared" ref="D3:D32" si="0">LimitCheck(A3,B3,C3)</f>
        <v>Accepted</v>
      </c>
      <c r="F3" t="s">
        <v>7</v>
      </c>
      <c r="G3" t="s">
        <v>9</v>
      </c>
      <c r="H3" s="2">
        <v>100000</v>
      </c>
    </row>
    <row r="4" spans="1:8" x14ac:dyDescent="0.2">
      <c r="A4" t="s">
        <v>10</v>
      </c>
      <c r="B4" t="s">
        <v>6</v>
      </c>
      <c r="C4" s="2">
        <v>2090890</v>
      </c>
      <c r="D4" t="str">
        <f t="shared" si="0"/>
        <v>Rejected</v>
      </c>
      <c r="F4" t="s">
        <v>7</v>
      </c>
      <c r="G4" t="s">
        <v>11</v>
      </c>
      <c r="H4" s="2">
        <v>10000000</v>
      </c>
    </row>
    <row r="5" spans="1:8" x14ac:dyDescent="0.2">
      <c r="A5" t="s">
        <v>7</v>
      </c>
      <c r="B5" t="s">
        <v>6</v>
      </c>
      <c r="C5" s="2">
        <v>263633</v>
      </c>
      <c r="D5" t="str">
        <f t="shared" si="0"/>
        <v>Accepted</v>
      </c>
      <c r="F5" t="s">
        <v>10</v>
      </c>
      <c r="G5" t="s">
        <v>6</v>
      </c>
      <c r="H5" s="2">
        <v>500000</v>
      </c>
    </row>
    <row r="6" spans="1:8" x14ac:dyDescent="0.2">
      <c r="A6" t="s">
        <v>7</v>
      </c>
      <c r="B6" t="s">
        <v>6</v>
      </c>
      <c r="C6" s="2">
        <v>3181780</v>
      </c>
      <c r="D6" t="str">
        <f t="shared" si="0"/>
        <v>Rejected</v>
      </c>
      <c r="F6" t="s">
        <v>10</v>
      </c>
      <c r="G6" t="s">
        <v>9</v>
      </c>
      <c r="H6" s="2">
        <v>50000</v>
      </c>
    </row>
    <row r="7" spans="1:8" x14ac:dyDescent="0.2">
      <c r="A7" t="s">
        <v>7</v>
      </c>
      <c r="B7" t="s">
        <v>6</v>
      </c>
      <c r="C7" s="2">
        <v>3727225</v>
      </c>
      <c r="D7" t="str">
        <f t="shared" si="0"/>
        <v>Rejected</v>
      </c>
      <c r="F7" t="s">
        <v>10</v>
      </c>
      <c r="G7" t="s">
        <v>11</v>
      </c>
      <c r="H7" s="2">
        <v>5000000</v>
      </c>
    </row>
    <row r="8" spans="1:8" x14ac:dyDescent="0.2">
      <c r="A8" t="s">
        <v>7</v>
      </c>
      <c r="B8" t="s">
        <v>6</v>
      </c>
      <c r="C8" s="2">
        <v>4272670</v>
      </c>
      <c r="D8" t="str">
        <f t="shared" si="0"/>
        <v>Rejected</v>
      </c>
      <c r="F8" t="s">
        <v>12</v>
      </c>
      <c r="G8" t="s">
        <v>6</v>
      </c>
      <c r="H8" s="2">
        <v>2000000</v>
      </c>
    </row>
    <row r="9" spans="1:8" x14ac:dyDescent="0.2">
      <c r="A9" t="s">
        <v>7</v>
      </c>
      <c r="B9" t="s">
        <v>6</v>
      </c>
      <c r="C9" s="2">
        <v>481811</v>
      </c>
      <c r="D9" t="str">
        <f t="shared" si="0"/>
        <v>Accepted</v>
      </c>
      <c r="F9" t="s">
        <v>12</v>
      </c>
      <c r="G9" t="s">
        <v>9</v>
      </c>
      <c r="H9" s="2">
        <v>200000</v>
      </c>
    </row>
    <row r="10" spans="1:8" x14ac:dyDescent="0.2">
      <c r="A10" t="s">
        <v>10</v>
      </c>
      <c r="B10" t="s">
        <v>6</v>
      </c>
      <c r="C10" s="2">
        <v>5363560</v>
      </c>
      <c r="D10" t="str">
        <f t="shared" si="0"/>
        <v>Rejected</v>
      </c>
      <c r="F10" t="s">
        <v>12</v>
      </c>
      <c r="G10" t="s">
        <v>11</v>
      </c>
      <c r="H10" s="2">
        <v>20000000</v>
      </c>
    </row>
    <row r="11" spans="1:8" x14ac:dyDescent="0.2">
      <c r="A11" t="s">
        <v>7</v>
      </c>
      <c r="B11" t="s">
        <v>6</v>
      </c>
      <c r="C11" s="2">
        <v>999999</v>
      </c>
      <c r="D11" t="str">
        <f t="shared" si="0"/>
        <v>Accepted</v>
      </c>
      <c r="F11" t="s">
        <v>8</v>
      </c>
      <c r="G11" t="s">
        <v>6</v>
      </c>
      <c r="H11" s="2">
        <v>1500000</v>
      </c>
    </row>
    <row r="12" spans="1:8" x14ac:dyDescent="0.2">
      <c r="A12" t="s">
        <v>7</v>
      </c>
      <c r="B12" t="s">
        <v>6</v>
      </c>
      <c r="C12" s="2">
        <v>6454450</v>
      </c>
      <c r="D12" t="str">
        <f t="shared" si="0"/>
        <v>Rejected</v>
      </c>
      <c r="F12" t="s">
        <v>8</v>
      </c>
      <c r="G12" t="s">
        <v>9</v>
      </c>
      <c r="H12" s="2">
        <v>150000</v>
      </c>
    </row>
    <row r="13" spans="1:8" x14ac:dyDescent="0.2">
      <c r="A13" t="s">
        <v>12</v>
      </c>
      <c r="B13" t="s">
        <v>11</v>
      </c>
      <c r="C13" s="2">
        <v>2000000</v>
      </c>
      <c r="D13" t="str">
        <f t="shared" si="0"/>
        <v>Accepted</v>
      </c>
      <c r="F13" t="s">
        <v>8</v>
      </c>
      <c r="G13" t="s">
        <v>11</v>
      </c>
      <c r="H13" s="2">
        <v>15000000</v>
      </c>
    </row>
    <row r="14" spans="1:8" x14ac:dyDescent="0.2">
      <c r="A14" t="s">
        <v>13</v>
      </c>
      <c r="B14" t="s">
        <v>11</v>
      </c>
      <c r="C14" s="2">
        <v>309089</v>
      </c>
      <c r="D14" t="str">
        <f t="shared" si="0"/>
        <v>Accepted</v>
      </c>
      <c r="F14" t="s">
        <v>13</v>
      </c>
      <c r="G14" t="s">
        <v>6</v>
      </c>
      <c r="H14" s="2">
        <v>2500000</v>
      </c>
    </row>
    <row r="15" spans="1:8" x14ac:dyDescent="0.2">
      <c r="A15" t="s">
        <v>12</v>
      </c>
      <c r="B15" t="s">
        <v>11</v>
      </c>
      <c r="C15" s="2">
        <v>41817800</v>
      </c>
      <c r="D15" t="str">
        <f t="shared" si="0"/>
        <v>Rejected</v>
      </c>
      <c r="F15" t="s">
        <v>13</v>
      </c>
      <c r="G15" t="s">
        <v>9</v>
      </c>
      <c r="H15" s="2">
        <v>250000</v>
      </c>
    </row>
    <row r="16" spans="1:8" x14ac:dyDescent="0.2">
      <c r="A16" t="s">
        <v>12</v>
      </c>
      <c r="B16" t="s">
        <v>11</v>
      </c>
      <c r="C16" s="2">
        <v>5272670</v>
      </c>
      <c r="D16" t="str">
        <f t="shared" si="0"/>
        <v>Accepted</v>
      </c>
      <c r="F16" t="s">
        <v>13</v>
      </c>
      <c r="G16" t="s">
        <v>11</v>
      </c>
      <c r="H16" s="2">
        <v>25000000</v>
      </c>
    </row>
    <row r="17" spans="1:4" x14ac:dyDescent="0.2">
      <c r="A17" t="s">
        <v>12</v>
      </c>
      <c r="B17" t="s">
        <v>11</v>
      </c>
      <c r="C17" s="2">
        <v>6363560</v>
      </c>
      <c r="D17" t="str">
        <f t="shared" si="0"/>
        <v>Accepted</v>
      </c>
    </row>
    <row r="18" spans="1:4" x14ac:dyDescent="0.2">
      <c r="A18" t="s">
        <v>12</v>
      </c>
      <c r="B18" t="s">
        <v>11</v>
      </c>
      <c r="C18" s="2">
        <v>745445</v>
      </c>
      <c r="D18" t="str">
        <f t="shared" si="0"/>
        <v>Accepted</v>
      </c>
    </row>
    <row r="19" spans="1:4" x14ac:dyDescent="0.2">
      <c r="A19" t="s">
        <v>12</v>
      </c>
      <c r="B19" t="s">
        <v>11</v>
      </c>
      <c r="C19" s="2">
        <v>8545340</v>
      </c>
      <c r="D19" t="str">
        <f t="shared" si="0"/>
        <v>Accepted</v>
      </c>
    </row>
    <row r="20" spans="1:4" x14ac:dyDescent="0.2">
      <c r="A20" t="s">
        <v>7</v>
      </c>
      <c r="B20" t="s">
        <v>11</v>
      </c>
      <c r="C20" s="2">
        <v>96362300</v>
      </c>
      <c r="D20" t="str">
        <f t="shared" si="0"/>
        <v>Rejected</v>
      </c>
    </row>
    <row r="21" spans="1:4" x14ac:dyDescent="0.2">
      <c r="A21" t="s">
        <v>12</v>
      </c>
      <c r="B21" t="s">
        <v>11</v>
      </c>
      <c r="C21" s="2">
        <v>1072712</v>
      </c>
      <c r="D21" t="str">
        <f t="shared" si="0"/>
        <v>Accepted</v>
      </c>
    </row>
    <row r="22" spans="1:4" x14ac:dyDescent="0.2">
      <c r="A22" t="s">
        <v>12</v>
      </c>
      <c r="B22" t="s">
        <v>11</v>
      </c>
      <c r="C22" s="2">
        <v>1181801</v>
      </c>
      <c r="D22" t="str">
        <f t="shared" si="0"/>
        <v>Accepted</v>
      </c>
    </row>
    <row r="23" spans="1:4" x14ac:dyDescent="0.2">
      <c r="A23" t="s">
        <v>10</v>
      </c>
      <c r="B23" t="s">
        <v>9</v>
      </c>
      <c r="C23" s="2">
        <v>50000</v>
      </c>
      <c r="D23" t="str">
        <f t="shared" si="0"/>
        <v>Accepted</v>
      </c>
    </row>
    <row r="24" spans="1:4" x14ac:dyDescent="0.2">
      <c r="A24" t="s">
        <v>7</v>
      </c>
      <c r="B24" t="s">
        <v>9</v>
      </c>
      <c r="C24" s="2">
        <v>104575</v>
      </c>
      <c r="D24" t="str">
        <f t="shared" si="0"/>
        <v>Rejected</v>
      </c>
    </row>
    <row r="25" spans="1:4" x14ac:dyDescent="0.2">
      <c r="A25" t="s">
        <v>12</v>
      </c>
      <c r="B25" t="s">
        <v>9</v>
      </c>
      <c r="C25" s="2">
        <v>159150</v>
      </c>
      <c r="D25" t="str">
        <f t="shared" si="0"/>
        <v>Accepted</v>
      </c>
    </row>
    <row r="26" spans="1:4" x14ac:dyDescent="0.2">
      <c r="A26" t="s">
        <v>10</v>
      </c>
      <c r="B26" t="s">
        <v>9</v>
      </c>
      <c r="C26" s="2">
        <v>213725</v>
      </c>
      <c r="D26" t="str">
        <f t="shared" si="0"/>
        <v>Rejected</v>
      </c>
    </row>
    <row r="27" spans="1:4" x14ac:dyDescent="0.2">
      <c r="A27" t="s">
        <v>12</v>
      </c>
      <c r="B27" t="s">
        <v>6</v>
      </c>
      <c r="C27" s="2">
        <v>268300</v>
      </c>
      <c r="D27" t="str">
        <f t="shared" si="0"/>
        <v>Accepted</v>
      </c>
    </row>
    <row r="28" spans="1:4" x14ac:dyDescent="0.2">
      <c r="A28" t="s">
        <v>10</v>
      </c>
      <c r="B28" t="s">
        <v>9</v>
      </c>
      <c r="C28" s="2">
        <v>322875</v>
      </c>
      <c r="D28" t="str">
        <f t="shared" si="0"/>
        <v>Rejected</v>
      </c>
    </row>
    <row r="29" spans="1:4" x14ac:dyDescent="0.2">
      <c r="A29" t="s">
        <v>10</v>
      </c>
      <c r="B29" t="s">
        <v>9</v>
      </c>
      <c r="C29" s="2">
        <v>377450</v>
      </c>
      <c r="D29" t="str">
        <f t="shared" si="0"/>
        <v>Rejected</v>
      </c>
    </row>
    <row r="30" spans="1:4" x14ac:dyDescent="0.2">
      <c r="A30" t="s">
        <v>10</v>
      </c>
      <c r="B30" t="s">
        <v>9</v>
      </c>
      <c r="C30" s="2">
        <v>432025</v>
      </c>
      <c r="D30" t="str">
        <f t="shared" si="0"/>
        <v>Rejected</v>
      </c>
    </row>
    <row r="31" spans="1:4" x14ac:dyDescent="0.2">
      <c r="A31" t="s">
        <v>12</v>
      </c>
      <c r="B31" t="s">
        <v>9</v>
      </c>
      <c r="C31" s="2">
        <v>486600</v>
      </c>
      <c r="D31" t="str">
        <f t="shared" si="0"/>
        <v>Rejected</v>
      </c>
    </row>
    <row r="32" spans="1:4" x14ac:dyDescent="0.2">
      <c r="A32" t="s">
        <v>10</v>
      </c>
      <c r="B32" t="s">
        <v>9</v>
      </c>
      <c r="C32" s="2">
        <v>541175</v>
      </c>
      <c r="D32" t="str">
        <f t="shared" si="0"/>
        <v>Rejected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P18"/>
  <sheetViews>
    <sheetView zoomScale="130" zoomScaleNormal="130" workbookViewId="0">
      <selection activeCell="F2" sqref="F2:F6"/>
    </sheetView>
  </sheetViews>
  <sheetFormatPr defaultRowHeight="12.75" x14ac:dyDescent="0.2"/>
  <cols>
    <col min="3" max="3" width="11.625" bestFit="1" customWidth="1"/>
    <col min="5" max="5" width="10.625" bestFit="1" customWidth="1"/>
    <col min="6" max="6" width="14.625" bestFit="1" customWidth="1"/>
    <col min="7" max="7" width="11.625" bestFit="1" customWidth="1"/>
    <col min="8" max="8" width="13.625" bestFit="1" customWidth="1"/>
    <col min="9" max="9" width="11.625" bestFit="1" customWidth="1"/>
    <col min="14" max="14" width="13.75" style="2" bestFit="1" customWidth="1"/>
    <col min="15" max="15" width="9.375" bestFit="1" customWidth="1"/>
  </cols>
  <sheetData>
    <row r="1" spans="1:16" x14ac:dyDescent="0.2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31</v>
      </c>
      <c r="H1" s="4" t="s">
        <v>19</v>
      </c>
      <c r="I1" s="12" t="s">
        <v>20</v>
      </c>
      <c r="J1" s="13">
        <v>250000</v>
      </c>
      <c r="K1" s="13"/>
      <c r="L1" s="14">
        <v>0</v>
      </c>
      <c r="M1" s="15"/>
      <c r="N1" s="2">
        <v>250000</v>
      </c>
    </row>
    <row r="2" spans="1:16" x14ac:dyDescent="0.2">
      <c r="A2" t="s">
        <v>21</v>
      </c>
      <c r="B2">
        <v>28</v>
      </c>
      <c r="C2" s="2">
        <v>350000</v>
      </c>
      <c r="D2">
        <v>58400</v>
      </c>
      <c r="E2" s="2">
        <f>TaxCals(B2,C2,D2)</f>
        <v>4160</v>
      </c>
      <c r="F2" s="2">
        <f>TaxCals(B2,C2)</f>
        <v>10000</v>
      </c>
      <c r="G2" s="5"/>
      <c r="H2" s="6"/>
      <c r="I2" s="16"/>
      <c r="J2" s="17">
        <v>250000</v>
      </c>
      <c r="K2" s="17">
        <v>500000</v>
      </c>
      <c r="L2" s="18">
        <v>0.1</v>
      </c>
      <c r="M2" s="19">
        <f>(K2-J2)*L2</f>
        <v>25000</v>
      </c>
      <c r="N2" s="2">
        <v>400000</v>
      </c>
      <c r="O2" s="5"/>
    </row>
    <row r="3" spans="1:16" x14ac:dyDescent="0.2">
      <c r="A3" t="s">
        <v>22</v>
      </c>
      <c r="B3">
        <v>63</v>
      </c>
      <c r="C3" s="2">
        <v>650000</v>
      </c>
      <c r="D3">
        <v>154572</v>
      </c>
      <c r="E3" s="2">
        <f t="shared" ref="E3:E6" si="0">TaxCals(B3,C3,D3)</f>
        <v>20000</v>
      </c>
      <c r="F3" s="2">
        <f t="shared" ref="F3:F6" si="1">TaxCals(B3,C3)</f>
        <v>50000</v>
      </c>
      <c r="G3" s="5"/>
      <c r="H3" s="4"/>
      <c r="I3" s="20"/>
      <c r="J3" s="17">
        <v>500000</v>
      </c>
      <c r="K3" s="17">
        <v>1000000</v>
      </c>
      <c r="L3" s="18">
        <v>0.2</v>
      </c>
      <c r="M3" s="19">
        <f>(K3-J3)*L3</f>
        <v>100000</v>
      </c>
      <c r="N3" s="2">
        <v>700000</v>
      </c>
      <c r="O3" s="5">
        <f>+N3-J3</f>
        <v>200000</v>
      </c>
      <c r="P3">
        <f>+O3*2/100</f>
        <v>4000</v>
      </c>
    </row>
    <row r="4" spans="1:16" x14ac:dyDescent="0.2">
      <c r="A4" t="s">
        <v>23</v>
      </c>
      <c r="B4">
        <v>25</v>
      </c>
      <c r="C4" s="2">
        <v>700000</v>
      </c>
      <c r="D4">
        <v>21254</v>
      </c>
      <c r="E4" s="2">
        <f t="shared" si="0"/>
        <v>60749.200000000004</v>
      </c>
      <c r="F4" s="2">
        <f t="shared" si="1"/>
        <v>65000</v>
      </c>
      <c r="G4" s="5"/>
      <c r="H4" s="4"/>
      <c r="I4" s="16"/>
      <c r="J4" s="17">
        <v>1000001</v>
      </c>
      <c r="K4" s="17"/>
      <c r="L4" s="18">
        <v>0.3</v>
      </c>
      <c r="M4" s="19"/>
      <c r="N4" s="2">
        <v>1100000</v>
      </c>
      <c r="O4" s="5">
        <f>+N4-J4</f>
        <v>99999</v>
      </c>
    </row>
    <row r="5" spans="1:16" x14ac:dyDescent="0.2">
      <c r="A5" t="s">
        <v>24</v>
      </c>
      <c r="B5">
        <v>82</v>
      </c>
      <c r="C5" s="2">
        <v>800000</v>
      </c>
      <c r="D5">
        <v>465225</v>
      </c>
      <c r="E5" s="2">
        <f t="shared" si="0"/>
        <v>30000</v>
      </c>
      <c r="F5" s="2">
        <f t="shared" si="1"/>
        <v>60000</v>
      </c>
      <c r="G5" s="5"/>
      <c r="H5" s="4"/>
      <c r="I5" s="16"/>
      <c r="J5" s="17"/>
      <c r="K5" s="17"/>
      <c r="L5" s="17"/>
      <c r="M5" s="19"/>
    </row>
    <row r="6" spans="1:16" x14ac:dyDescent="0.2">
      <c r="A6" t="s">
        <v>25</v>
      </c>
      <c r="B6">
        <v>59</v>
      </c>
      <c r="C6" s="2">
        <v>250000</v>
      </c>
      <c r="D6">
        <v>25015</v>
      </c>
      <c r="E6" s="2">
        <f t="shared" si="0"/>
        <v>0</v>
      </c>
      <c r="F6" s="2">
        <f t="shared" si="1"/>
        <v>0</v>
      </c>
      <c r="G6" s="5"/>
      <c r="H6" s="4"/>
      <c r="I6" s="16"/>
      <c r="J6" s="17"/>
      <c r="K6" s="17"/>
      <c r="L6" s="17"/>
      <c r="M6" s="19"/>
    </row>
    <row r="7" spans="1:16" x14ac:dyDescent="0.2">
      <c r="F7" s="5"/>
      <c r="H7" s="4"/>
      <c r="I7" s="16" t="s">
        <v>26</v>
      </c>
      <c r="J7" s="17">
        <v>300000</v>
      </c>
      <c r="K7" s="17"/>
      <c r="L7" s="18">
        <v>0</v>
      </c>
      <c r="M7" s="19"/>
    </row>
    <row r="8" spans="1:16" x14ac:dyDescent="0.2">
      <c r="F8" s="5"/>
      <c r="G8" s="5"/>
      <c r="H8" s="4"/>
      <c r="I8" s="16"/>
      <c r="J8" s="17">
        <v>300000</v>
      </c>
      <c r="K8" s="17">
        <v>500000</v>
      </c>
      <c r="L8" s="18">
        <v>0.1</v>
      </c>
      <c r="M8" s="19">
        <f>(K8-J8)*L8</f>
        <v>20000</v>
      </c>
    </row>
    <row r="9" spans="1:16" x14ac:dyDescent="0.2">
      <c r="F9" s="5"/>
      <c r="H9" s="4"/>
      <c r="I9" s="20"/>
      <c r="J9" s="17">
        <v>500000</v>
      </c>
      <c r="K9" s="17">
        <v>1000000</v>
      </c>
      <c r="L9" s="18">
        <v>0.2</v>
      </c>
      <c r="M9" s="19">
        <f>(K9-J9)*L9</f>
        <v>100000</v>
      </c>
    </row>
    <row r="10" spans="1:16" x14ac:dyDescent="0.2">
      <c r="H10" s="4"/>
      <c r="I10" s="16"/>
      <c r="J10" s="17">
        <v>1000001</v>
      </c>
      <c r="K10" s="17"/>
      <c r="L10" s="18">
        <v>0.3</v>
      </c>
      <c r="M10" s="19"/>
    </row>
    <row r="11" spans="1:16" x14ac:dyDescent="0.2">
      <c r="H11" s="4"/>
      <c r="I11" s="16"/>
      <c r="J11" s="17"/>
      <c r="K11" s="17"/>
      <c r="L11" s="17"/>
      <c r="M11" s="19"/>
    </row>
    <row r="12" spans="1:16" x14ac:dyDescent="0.2">
      <c r="H12" s="4"/>
      <c r="I12" s="16" t="s">
        <v>27</v>
      </c>
      <c r="J12" s="17">
        <v>500000</v>
      </c>
      <c r="K12" s="17"/>
      <c r="L12" s="18">
        <v>0</v>
      </c>
      <c r="M12" s="19"/>
    </row>
    <row r="13" spans="1:16" x14ac:dyDescent="0.2">
      <c r="H13" s="4"/>
      <c r="I13" s="16"/>
      <c r="J13" s="17">
        <v>500000</v>
      </c>
      <c r="K13" s="17">
        <v>1000000</v>
      </c>
      <c r="L13" s="18">
        <v>0.2</v>
      </c>
      <c r="M13" s="19">
        <f>(K13-J13)*L13</f>
        <v>100000</v>
      </c>
    </row>
    <row r="14" spans="1:16" ht="13.5" thickBot="1" x14ac:dyDescent="0.25">
      <c r="H14" s="4"/>
      <c r="I14" s="21"/>
      <c r="J14" s="22">
        <v>1000001</v>
      </c>
      <c r="K14" s="22"/>
      <c r="L14" s="23">
        <v>0.3</v>
      </c>
      <c r="M14" s="24"/>
    </row>
    <row r="15" spans="1:16" x14ac:dyDescent="0.2">
      <c r="H15" s="4"/>
    </row>
    <row r="16" spans="1:16" x14ac:dyDescent="0.2">
      <c r="H16" s="4"/>
    </row>
    <row r="17" spans="8:8" x14ac:dyDescent="0.2">
      <c r="H17" s="4"/>
    </row>
    <row r="18" spans="8:8" x14ac:dyDescent="0.2">
      <c r="H18" s="4"/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Limit Check</vt:lpstr>
      <vt:lpstr>Tax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Sundar Shankar</dc:creator>
  <cp:lastModifiedBy>Shyam Sundar Shankar</cp:lastModifiedBy>
  <dcterms:created xsi:type="dcterms:W3CDTF">2013-03-17T09:29:37Z</dcterms:created>
  <dcterms:modified xsi:type="dcterms:W3CDTF">2018-10-06T22:44:49Z</dcterms:modified>
</cp:coreProperties>
</file>